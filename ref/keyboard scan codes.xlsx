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source\repos\CMakeProject1\ref\"/>
    </mc:Choice>
  </mc:AlternateContent>
  <xr:revisionPtr revIDLastSave="0" documentId="13_ncr:1_{73BFCA5E-DA00-48CC-B6BA-71EA7E6D30DA}" xr6:coauthVersionLast="47" xr6:coauthVersionMax="47" xr10:uidLastSave="{00000000-0000-0000-0000-000000000000}"/>
  <bookViews>
    <workbookView xWindow="25800" yWindow="0" windowWidth="25800" windowHeight="21600" xr2:uid="{AA1586C1-D615-462C-98EE-A1D98E8FF9F4}"/>
  </bookViews>
  <sheets>
    <sheet name="Sheet1" sheetId="1" r:id="rId1"/>
    <sheet name="Sheet2" sheetId="2" r:id="rId2"/>
  </sheets>
  <definedNames>
    <definedName name="_xlnm._FilterDatabase" localSheetId="0" hidden="1">Sheet1!$A$1:$H$161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8" i="2" l="1"/>
  <c r="G2" i="2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/>
  <c r="G56" i="2" a="1"/>
  <c r="G56" i="2"/>
  <c r="G57" i="2" a="1"/>
  <c r="G57" i="2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 s="1"/>
  <c r="G118" i="2" a="1"/>
  <c r="G118" i="2" s="1"/>
  <c r="G119" i="2" a="1"/>
  <c r="G119" i="2" s="1"/>
  <c r="G143" i="2" a="1"/>
  <c r="G143" i="2" s="1"/>
  <c r="G145" i="2" a="1"/>
  <c r="G145" i="2" s="1"/>
  <c r="G146" i="2" a="1"/>
  <c r="G146" i="2" s="1"/>
  <c r="G159" i="2" a="1"/>
  <c r="G159" i="2" s="1"/>
  <c r="G160" i="2" a="1"/>
  <c r="G160" i="2" s="1"/>
  <c r="G161" i="2" a="1"/>
  <c r="G161" i="2" s="1"/>
  <c r="G162" i="2" a="1"/>
  <c r="G162" i="2" s="1"/>
  <c r="G163" i="2" a="1"/>
  <c r="G163" i="2" s="1"/>
  <c r="G165" i="2" a="1"/>
  <c r="G165" i="2" s="1"/>
  <c r="G167" i="2" a="1"/>
  <c r="G167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81" i="2" a="1"/>
  <c r="G181" i="2" s="1"/>
  <c r="G182" i="2" a="1"/>
  <c r="G182" i="2" s="1"/>
  <c r="G183" i="2" a="1"/>
  <c r="G183" i="2" s="1"/>
  <c r="D87" i="2"/>
  <c r="D86" i="2"/>
  <c r="D2" i="2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D55" i="2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8" i="2"/>
  <c r="E88" i="2" s="1"/>
  <c r="D89" i="2"/>
  <c r="E89" i="2" s="1"/>
  <c r="D118" i="2"/>
  <c r="D119" i="2"/>
  <c r="E119" i="2" s="1"/>
  <c r="D143" i="2"/>
  <c r="E143" i="2" s="1"/>
  <c r="D145" i="2"/>
  <c r="E145" i="2" s="1"/>
  <c r="D146" i="2"/>
  <c r="E146" i="2" s="1"/>
  <c r="D159" i="2"/>
  <c r="E159" i="2" s="1"/>
  <c r="D160" i="2"/>
  <c r="E160" i="2" s="1"/>
  <c r="D161" i="2"/>
  <c r="E161" i="2" s="1"/>
  <c r="D162" i="2"/>
  <c r="E162" i="2" s="1"/>
  <c r="D163" i="2"/>
  <c r="E163" i="2" s="1"/>
  <c r="D165" i="2"/>
  <c r="E165" i="2" s="1"/>
  <c r="D167" i="2"/>
  <c r="E167" i="2" s="1"/>
  <c r="D169" i="2"/>
  <c r="E169" i="2" s="1"/>
  <c r="D170" i="2"/>
  <c r="E170" i="2" s="1"/>
  <c r="D171" i="2"/>
  <c r="E171" i="2" s="1"/>
  <c r="D172" i="2"/>
  <c r="E172" i="2" s="1"/>
  <c r="D173" i="2"/>
  <c r="E173" i="2" s="1"/>
  <c r="D181" i="2"/>
  <c r="E181" i="2" s="1"/>
  <c r="D182" i="2"/>
  <c r="E182" i="2" s="1"/>
  <c r="D183" i="2"/>
  <c r="E183" i="2" s="1"/>
  <c r="E118" i="2" l="1"/>
  <c r="K118" i="2"/>
  <c r="E54" i="2"/>
  <c r="E29" i="2"/>
  <c r="E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<sst xmlns="http://schemas.openxmlformats.org/spreadsheetml/2006/main" count="1300" uniqueCount="491">
  <si>
    <t>HID Usage Page Name</t>
  </si>
  <si>
    <t>HID Usage Name</t>
  </si>
  <si>
    <t>HID Usage Page</t>
  </si>
  <si>
    <t>HID Usage ID</t>
  </si>
  <si>
    <t>Scan 1 Make</t>
  </si>
  <si>
    <t>Key Location</t>
  </si>
  <si>
    <t>Generic Desktop</t>
  </si>
  <si>
    <t>System Power Down</t>
  </si>
  <si>
    <t>0x0001</t>
  </si>
  <si>
    <t>0x0081</t>
  </si>
  <si>
    <t>0xE05E</t>
  </si>
  <si>
    <t>System Sleep</t>
  </si>
  <si>
    <t>0x0082</t>
  </si>
  <si>
    <t>0xE05F</t>
  </si>
  <si>
    <t>System Wake Up</t>
  </si>
  <si>
    <t>0x0083</t>
  </si>
  <si>
    <t>0xE063</t>
  </si>
  <si>
    <t>Keyboard/Keypad</t>
  </si>
  <si>
    <t>ErrorRollOver</t>
  </si>
  <si>
    <t>0x0007</t>
  </si>
  <si>
    <t>0x00FF</t>
  </si>
  <si>
    <t>Keyboard A</t>
  </si>
  <si>
    <t>0x0004</t>
  </si>
  <si>
    <t>0x001E</t>
  </si>
  <si>
    <t>Keyboard B</t>
  </si>
  <si>
    <t>0x0005</t>
  </si>
  <si>
    <t>0x0030</t>
  </si>
  <si>
    <t>Keyboard C</t>
  </si>
  <si>
    <t>0x0006</t>
  </si>
  <si>
    <t>0x002E</t>
  </si>
  <si>
    <t>Keyboard D</t>
  </si>
  <si>
    <t>0x0020</t>
  </si>
  <si>
    <t>Keyboard E</t>
  </si>
  <si>
    <t>0x0008</t>
  </si>
  <si>
    <t>0x0012</t>
  </si>
  <si>
    <t>Keyboard F</t>
  </si>
  <si>
    <t>0x0009</t>
  </si>
  <si>
    <t>0x0021</t>
  </si>
  <si>
    <t>Keyboard G</t>
  </si>
  <si>
    <t>0x000A</t>
  </si>
  <si>
    <t>0x0022</t>
  </si>
  <si>
    <t>Keyboard H</t>
  </si>
  <si>
    <t>0x000B</t>
  </si>
  <si>
    <t>0x0023</t>
  </si>
  <si>
    <t>Keyboard I</t>
  </si>
  <si>
    <t>0x000C</t>
  </si>
  <si>
    <t>0x0017</t>
  </si>
  <si>
    <t>Keyboard J</t>
  </si>
  <si>
    <t>0x000D</t>
  </si>
  <si>
    <t>0x0024</t>
  </si>
  <si>
    <t>Keyboard K</t>
  </si>
  <si>
    <t>0x000E</t>
  </si>
  <si>
    <t>0x0025</t>
  </si>
  <si>
    <t>Keyboard L</t>
  </si>
  <si>
    <t>0x000F</t>
  </si>
  <si>
    <t>0x0026</t>
  </si>
  <si>
    <t>Keyboard M</t>
  </si>
  <si>
    <t>0x0010</t>
  </si>
  <si>
    <t>0x0032</t>
  </si>
  <si>
    <t>Keyboard N</t>
  </si>
  <si>
    <t>0x0011</t>
  </si>
  <si>
    <t>0x0031</t>
  </si>
  <si>
    <t>Keyboard O</t>
  </si>
  <si>
    <t>0x0018</t>
  </si>
  <si>
    <t>Keyboard P</t>
  </si>
  <si>
    <t>0x0013</t>
  </si>
  <si>
    <t>0x0019</t>
  </si>
  <si>
    <t>Keyboard Q</t>
  </si>
  <si>
    <t>0x0014</t>
  </si>
  <si>
    <t>Keyboard R</t>
  </si>
  <si>
    <t>0x0015</t>
  </si>
  <si>
    <t>Keyboard S</t>
  </si>
  <si>
    <t>0x0016</t>
  </si>
  <si>
    <t>0x001F</t>
  </si>
  <si>
    <t>Keyboard T</t>
  </si>
  <si>
    <t>Keyboard U</t>
  </si>
  <si>
    <t>Keyboard V</t>
  </si>
  <si>
    <t>0x002F</t>
  </si>
  <si>
    <t>Keyboard W</t>
  </si>
  <si>
    <t>0x001A</t>
  </si>
  <si>
    <t>Keyboard X</t>
  </si>
  <si>
    <t>0x001B</t>
  </si>
  <si>
    <t>0x002D</t>
  </si>
  <si>
    <t>Keyboard Y</t>
  </si>
  <si>
    <t>0x001C</t>
  </si>
  <si>
    <t>Keyboard Z</t>
  </si>
  <si>
    <t>0x001D</t>
  </si>
  <si>
    <t>0x002C</t>
  </si>
  <si>
    <t>Keyboard 1 and Bang</t>
  </si>
  <si>
    <t>0x0002</t>
  </si>
  <si>
    <t>Keyboard 2 and At</t>
  </si>
  <si>
    <t>0x0003</t>
  </si>
  <si>
    <t>Keyboard 3 And Hash</t>
  </si>
  <si>
    <t>Keyboard 4 and Dollar</t>
  </si>
  <si>
    <t>Keyboard 5 and Percent</t>
  </si>
  <si>
    <t>Keyboard 6 and Caret</t>
  </si>
  <si>
    <t>Keyboard 7 and Ampersand</t>
  </si>
  <si>
    <t>Keyboard 8 and Star</t>
  </si>
  <si>
    <t>Keyboard 9 and Left Bracket</t>
  </si>
  <si>
    <t>Keyboard 0 and Right Bracket</t>
  </si>
  <si>
    <t>0x0027</t>
  </si>
  <si>
    <t>Keyboard Return Enter</t>
  </si>
  <si>
    <t>0x0028</t>
  </si>
  <si>
    <t>Keyboard Escape</t>
  </si>
  <si>
    <t>0x0029</t>
  </si>
  <si>
    <t>Keyboard Delete</t>
  </si>
  <si>
    <t>0x002A</t>
  </si>
  <si>
    <t>Keyboard Tab</t>
  </si>
  <si>
    <t>0x002B</t>
  </si>
  <si>
    <t>Keyboard Spacebar</t>
  </si>
  <si>
    <t>0x0039</t>
  </si>
  <si>
    <t>Keyboard Dash and Underscore</t>
  </si>
  <si>
    <t>Keyboard Equals and Plus</t>
  </si>
  <si>
    <t>Keyboard Left Brace</t>
  </si>
  <si>
    <t>Keyboard Right Brace</t>
  </si>
  <si>
    <t>Keyboard Backslash and Pipe</t>
  </si>
  <si>
    <t>Keyboard Non-US Hash and Tilde</t>
  </si>
  <si>
    <t>Keyboard SemiColon and Colon</t>
  </si>
  <si>
    <t>0x0033</t>
  </si>
  <si>
    <t>Keyboard Apostrophe and Double Quotation Mark</t>
  </si>
  <si>
    <t>0x0034</t>
  </si>
  <si>
    <t>Keyboard Grave Accent and Tilde</t>
  </si>
  <si>
    <t>0x0035</t>
  </si>
  <si>
    <t>Keyboard Comma and LessThan</t>
  </si>
  <si>
    <t>0x0036</t>
  </si>
  <si>
    <t>Keyboard Period and GreaterThan</t>
  </si>
  <si>
    <t>0x0037</t>
  </si>
  <si>
    <t>Keyboard ForwardSlash and QuestionMark</t>
  </si>
  <si>
    <t>0x0038</t>
  </si>
  <si>
    <t>Keyboard Caps Lock</t>
  </si>
  <si>
    <t>0x003A</t>
  </si>
  <si>
    <t>Keyboard F1</t>
  </si>
  <si>
    <t>0x003B</t>
  </si>
  <si>
    <t>Keyboard F2</t>
  </si>
  <si>
    <t>0x003C</t>
  </si>
  <si>
    <t>Keyboard F3</t>
  </si>
  <si>
    <t>0x003D</t>
  </si>
  <si>
    <t>Keyboard F4</t>
  </si>
  <si>
    <t>0x003E</t>
  </si>
  <si>
    <t>Keyboard F5</t>
  </si>
  <si>
    <t>0x003F</t>
  </si>
  <si>
    <t>Keyboard F6</t>
  </si>
  <si>
    <t>0x0040</t>
  </si>
  <si>
    <t>Keyboard F7</t>
  </si>
  <si>
    <t>0x0041</t>
  </si>
  <si>
    <t>Keyboard F8</t>
  </si>
  <si>
    <t>0x0042</t>
  </si>
  <si>
    <t>Keyboard F9</t>
  </si>
  <si>
    <t>0x0043</t>
  </si>
  <si>
    <t>Keyboard F10</t>
  </si>
  <si>
    <t>0x0044</t>
  </si>
  <si>
    <t>Keyboard F11</t>
  </si>
  <si>
    <t>0x0057</t>
  </si>
  <si>
    <t>Keyboard F12</t>
  </si>
  <si>
    <t>0x0045</t>
  </si>
  <si>
    <t>0x0058</t>
  </si>
  <si>
    <t>Keyboard PrintScreen</t>
  </si>
  <si>
    <t>0x0046</t>
  </si>
  <si>
    <t>0xE037</t>
  </si>
  <si>
    <t>Keyboard Scroll Lock</t>
  </si>
  <si>
    <t>0x0047</t>
  </si>
  <si>
    <t>Keyboard Pause</t>
  </si>
  <si>
    <t>0x0048</t>
  </si>
  <si>
    <t>0xE11D45</t>
  </si>
  <si>
    <t>Keyboard Insert</t>
  </si>
  <si>
    <t>0x0049</t>
  </si>
  <si>
    <t>0xE052</t>
  </si>
  <si>
    <t>Keyboard Home</t>
  </si>
  <si>
    <t>0x004A</t>
  </si>
  <si>
    <t>0xE047</t>
  </si>
  <si>
    <t>Keyboard PageUp</t>
  </si>
  <si>
    <t>0x004B</t>
  </si>
  <si>
    <t>0xE049</t>
  </si>
  <si>
    <t>Keyboard Delete Forward</t>
  </si>
  <si>
    <t>0x004C</t>
  </si>
  <si>
    <t>0xE053</t>
  </si>
  <si>
    <t>Keyboard End</t>
  </si>
  <si>
    <t>0x004D</t>
  </si>
  <si>
    <t>0xE04F</t>
  </si>
  <si>
    <t>Keyboard PageDown</t>
  </si>
  <si>
    <t>0x004E</t>
  </si>
  <si>
    <t>0xE051</t>
  </si>
  <si>
    <t>Keyboard RightArrow</t>
  </si>
  <si>
    <t>0x004F</t>
  </si>
  <si>
    <t>0xE04D</t>
  </si>
  <si>
    <t>Keyboard LeftArrow</t>
  </si>
  <si>
    <t>0x0050</t>
  </si>
  <si>
    <t>0xE04B</t>
  </si>
  <si>
    <t>Keyboard DownArrow</t>
  </si>
  <si>
    <t>0x0051</t>
  </si>
  <si>
    <t>0xE050</t>
  </si>
  <si>
    <t>Keyboard UpArrow</t>
  </si>
  <si>
    <t>0x0052</t>
  </si>
  <si>
    <t>0xE048</t>
  </si>
  <si>
    <t>Keypad Num Lock and Clear</t>
  </si>
  <si>
    <t>0x0053</t>
  </si>
  <si>
    <t>Keypad Forward Slash</t>
  </si>
  <si>
    <t>0x0054</t>
  </si>
  <si>
    <t>0xE035</t>
  </si>
  <si>
    <t>Keypad Star</t>
  </si>
  <si>
    <t>0x0055</t>
  </si>
  <si>
    <t>Keypad Dash</t>
  </si>
  <si>
    <t>0x0056</t>
  </si>
  <si>
    <t>Keypad Plus</t>
  </si>
  <si>
    <t>Keypad ENTER</t>
  </si>
  <si>
    <t>0xE01C</t>
  </si>
  <si>
    <t>Keypad 1 and End</t>
  </si>
  <si>
    <t>0x0059</t>
  </si>
  <si>
    <t>Keypad 2 and Down Arrow</t>
  </si>
  <si>
    <t>0x005A</t>
  </si>
  <si>
    <t>Keypad 3 and PageDn</t>
  </si>
  <si>
    <t>0x005B</t>
  </si>
  <si>
    <t>Keypad 4 and Left Arrow</t>
  </si>
  <si>
    <t>0x005C</t>
  </si>
  <si>
    <t>Keypad 5</t>
  </si>
  <si>
    <t>0x005D</t>
  </si>
  <si>
    <t>Keypad 6 and Right Arrow</t>
  </si>
  <si>
    <t>0x005E</t>
  </si>
  <si>
    <t>Keypad 7 and Home</t>
  </si>
  <si>
    <t>0x005F</t>
  </si>
  <si>
    <t>Keypad 8 and Up Arrow</t>
  </si>
  <si>
    <t>0x0060</t>
  </si>
  <si>
    <t>Keypad 9 and PageUp</t>
  </si>
  <si>
    <t>0x0061</t>
  </si>
  <si>
    <t>Keypad 0 and Insert</t>
  </si>
  <si>
    <t>0x0062</t>
  </si>
  <si>
    <t>Keypad Period and Delete</t>
  </si>
  <si>
    <t>0x0063</t>
  </si>
  <si>
    <t>Keyboard Non-US Backslash and Pipe</t>
  </si>
  <si>
    <t>0x0064</t>
  </si>
  <si>
    <t>Keyboard Application</t>
  </si>
  <si>
    <t>0x0065</t>
  </si>
  <si>
    <t>0xE05D</t>
  </si>
  <si>
    <t>Keyboard Power</t>
  </si>
  <si>
    <t>0x0066</t>
  </si>
  <si>
    <t>Keypad Equals</t>
  </si>
  <si>
    <t>0x0067</t>
  </si>
  <si>
    <t>Keyboard F13</t>
  </si>
  <si>
    <t>0x0068</t>
  </si>
  <si>
    <t>Keyboard F14</t>
  </si>
  <si>
    <t>0x0069</t>
  </si>
  <si>
    <t>Keyboard F15</t>
  </si>
  <si>
    <t>0x006A</t>
  </si>
  <si>
    <t>Keyboard F16</t>
  </si>
  <si>
    <t>0x006B</t>
  </si>
  <si>
    <t>Keyboard F17</t>
  </si>
  <si>
    <t>0x006C</t>
  </si>
  <si>
    <t>Keyboard F18</t>
  </si>
  <si>
    <t>0x006D</t>
  </si>
  <si>
    <t>Keyboard F19</t>
  </si>
  <si>
    <t>0x006E</t>
  </si>
  <si>
    <t>Keyboard F20</t>
  </si>
  <si>
    <t>0x006F</t>
  </si>
  <si>
    <t>Keyboard F21</t>
  </si>
  <si>
    <t>0x0070</t>
  </si>
  <si>
    <t>Keyboard F22</t>
  </si>
  <si>
    <t>0x0071</t>
  </si>
  <si>
    <t>Keyboard F23</t>
  </si>
  <si>
    <t>0x0072</t>
  </si>
  <si>
    <t>Keyboard F24</t>
  </si>
  <si>
    <t>0x0073</t>
  </si>
  <si>
    <t>0x0076</t>
  </si>
  <si>
    <t>Keypad Comma</t>
  </si>
  <si>
    <t>0x0085</t>
  </si>
  <si>
    <t>0x007E</t>
  </si>
  <si>
    <t>Keyboard International1</t>
  </si>
  <si>
    <t>0x0087</t>
  </si>
  <si>
    <t>Keyboard International2</t>
  </si>
  <si>
    <t>0x0088</t>
  </si>
  <si>
    <t>Keyboard International3</t>
  </si>
  <si>
    <t>0x0089</t>
  </si>
  <si>
    <t>0x007D</t>
  </si>
  <si>
    <t>Keyboard International4</t>
  </si>
  <si>
    <t>0x008A</t>
  </si>
  <si>
    <t>0x0079</t>
  </si>
  <si>
    <t>Keyboard International5</t>
  </si>
  <si>
    <t>0x008B</t>
  </si>
  <si>
    <t>0x007B</t>
  </si>
  <si>
    <t>Keyboard International6</t>
  </si>
  <si>
    <t>0x008C</t>
  </si>
  <si>
    <t>Keyboard LANG1</t>
  </si>
  <si>
    <t>0x0090</t>
  </si>
  <si>
    <t>Keyboard LANG2</t>
  </si>
  <si>
    <t>0x0091</t>
  </si>
  <si>
    <t>Keyboard LANG3</t>
  </si>
  <si>
    <t>0x0092</t>
  </si>
  <si>
    <t>0x0078</t>
  </si>
  <si>
    <t>Keyboard LANG4</t>
  </si>
  <si>
    <t>0x0093</t>
  </si>
  <si>
    <t>0x0077</t>
  </si>
  <si>
    <t>Keyboard LANG5</t>
  </si>
  <si>
    <t>0x0094</t>
  </si>
  <si>
    <t>Keyboard LeftControl</t>
  </si>
  <si>
    <t>0x00E0</t>
  </si>
  <si>
    <t>Keyboard LeftShift</t>
  </si>
  <si>
    <t>0x00E1</t>
  </si>
  <si>
    <t>Keyboard LeftAlt</t>
  </si>
  <si>
    <t>0x00E2</t>
  </si>
  <si>
    <t>Keyboard Left GUI</t>
  </si>
  <si>
    <t>0x00E3</t>
  </si>
  <si>
    <t>0xE05B</t>
  </si>
  <si>
    <t>Keyboard RightControl</t>
  </si>
  <si>
    <t>0x00E4</t>
  </si>
  <si>
    <t>0xE01D</t>
  </si>
  <si>
    <t>Keyboard RightShift</t>
  </si>
  <si>
    <t>0x00E5</t>
  </si>
  <si>
    <t>Keyboard RightAlt</t>
  </si>
  <si>
    <t>0x00E6</t>
  </si>
  <si>
    <t>0xE038</t>
  </si>
  <si>
    <t>Keyboard Right GUI</t>
  </si>
  <si>
    <t>0x00E7</t>
  </si>
  <si>
    <t>0xE05C</t>
  </si>
  <si>
    <t>Consumer</t>
  </si>
  <si>
    <t>Scan Next Track</t>
  </si>
  <si>
    <t>0x00B5</t>
  </si>
  <si>
    <t>0xE019</t>
  </si>
  <si>
    <t>Scan Previous Track</t>
  </si>
  <si>
    <t>0x00B6</t>
  </si>
  <si>
    <t>0xE010</t>
  </si>
  <si>
    <t>Stop</t>
  </si>
  <si>
    <t>0x00B7</t>
  </si>
  <si>
    <t>0xE024</t>
  </si>
  <si>
    <t>Play/Pause</t>
  </si>
  <si>
    <t>0x00CD</t>
  </si>
  <si>
    <t>0xE022</t>
  </si>
  <si>
    <t>Mute</t>
  </si>
  <si>
    <t>0xE020</t>
  </si>
  <si>
    <t>Volume Increment</t>
  </si>
  <si>
    <t>0x00E9</t>
  </si>
  <si>
    <t>0xE030</t>
  </si>
  <si>
    <t>Volume Decrement</t>
  </si>
  <si>
    <t>0x00EA</t>
  </si>
  <si>
    <t>0xE02E</t>
  </si>
  <si>
    <t>AL Consumer Control Configuration</t>
  </si>
  <si>
    <t>0x0183</t>
  </si>
  <si>
    <t>0xE06D</t>
  </si>
  <si>
    <t>AL Email Reader</t>
  </si>
  <si>
    <t>0x018A</t>
  </si>
  <si>
    <t>0xE06C</t>
  </si>
  <si>
    <t>AL Calculator</t>
  </si>
  <si>
    <t>0x0192</t>
  </si>
  <si>
    <t>0xE021</t>
  </si>
  <si>
    <t>AL Local Machine Browser</t>
  </si>
  <si>
    <t>0x0194</t>
  </si>
  <si>
    <t>0xE06B</t>
  </si>
  <si>
    <t>AC Search</t>
  </si>
  <si>
    <t>0x0221</t>
  </si>
  <si>
    <t>0xE065</t>
  </si>
  <si>
    <t>AC Home</t>
  </si>
  <si>
    <t>0x0223</t>
  </si>
  <si>
    <t>0xE032</t>
  </si>
  <si>
    <t>AC Back</t>
  </si>
  <si>
    <t>0x0224</t>
  </si>
  <si>
    <t>0xE06A</t>
  </si>
  <si>
    <t>AC Forward</t>
  </si>
  <si>
    <t>0x0225</t>
  </si>
  <si>
    <t>0xE069</t>
  </si>
  <si>
    <t>AC Stop</t>
  </si>
  <si>
    <t>0x0226</t>
  </si>
  <si>
    <t>0xE068</t>
  </si>
  <si>
    <t>AC Refresh</t>
  </si>
  <si>
    <t>0x0227</t>
  </si>
  <si>
    <t>0xE067</t>
  </si>
  <si>
    <t>AC Bookmarks</t>
  </si>
  <si>
    <t>0x022A</t>
  </si>
  <si>
    <t>0xE066</t>
  </si>
  <si>
    <t>Note</t>
  </si>
  <si>
    <t>0xE046</t>
  </si>
  <si>
    <t>0xE045</t>
  </si>
  <si>
    <t>4,5</t>
  </si>
  <si>
    <t>3,6</t>
  </si>
  <si>
    <t>0x00F2</t>
  </si>
  <si>
    <t>0x00F1</t>
  </si>
  <si>
    <t>Key locations</t>
  </si>
  <si>
    <t>Notes</t>
  </si>
  <si>
    <t>3. As seen in legacy keyboard messages</t>
  </si>
  <si>
    <t>4. The key is present on Brazilian keyboards</t>
  </si>
  <si>
    <t>5. The key is present on Japanese keyboards</t>
  </si>
  <si>
    <t>6. The scan code is emitted in key release event only</t>
  </si>
  <si>
    <t>1. SysRq key scan code is emitted on Alt+Print screen keystroke</t>
  </si>
  <si>
    <t>2. Break key scan code is emitted on Ctrl+Pause keystroke</t>
  </si>
  <si>
    <t>SYSRQ</t>
  </si>
  <si>
    <t>Break</t>
  </si>
  <si>
    <t>index</t>
  </si>
  <si>
    <t>KEY_A</t>
  </si>
  <si>
    <t>KEY_B</t>
  </si>
  <si>
    <t>KEY_C</t>
  </si>
  <si>
    <t>KEY_D</t>
  </si>
  <si>
    <t>KEY_E</t>
  </si>
  <si>
    <t>KEY_F</t>
  </si>
  <si>
    <t>KEY_G</t>
  </si>
  <si>
    <t>KEY_H</t>
  </si>
  <si>
    <t>KEY_I</t>
  </si>
  <si>
    <t>KEY_J</t>
  </si>
  <si>
    <t>KEY_K</t>
  </si>
  <si>
    <t>KEY_L</t>
  </si>
  <si>
    <t>KEY_M</t>
  </si>
  <si>
    <t>KEY_N</t>
  </si>
  <si>
    <t>KEY_O</t>
  </si>
  <si>
    <t>KEY_P</t>
  </si>
  <si>
    <t>KEY_Q</t>
  </si>
  <si>
    <t>KEY_R</t>
  </si>
  <si>
    <t>KEY_S</t>
  </si>
  <si>
    <t>KEY_T</t>
  </si>
  <si>
    <t>KEY_U</t>
  </si>
  <si>
    <t>KEY_V</t>
  </si>
  <si>
    <t>KEY_W</t>
  </si>
  <si>
    <t>KEY_X</t>
  </si>
  <si>
    <t>KEY_Y</t>
  </si>
  <si>
    <t>KEY_Z</t>
  </si>
  <si>
    <t>KEY_1</t>
  </si>
  <si>
    <t>KEY_2</t>
  </si>
  <si>
    <t>KEY_3</t>
  </si>
  <si>
    <t>KEY_4</t>
  </si>
  <si>
    <t>KEY_5</t>
  </si>
  <si>
    <t>KEY_6</t>
  </si>
  <si>
    <t>KEY_7</t>
  </si>
  <si>
    <t>KEY_8</t>
  </si>
  <si>
    <t>KEY_9</t>
  </si>
  <si>
    <t>KEY_0</t>
  </si>
  <si>
    <t>KEY_ENTER</t>
  </si>
  <si>
    <t>KEY_ESCAPE</t>
  </si>
  <si>
    <t>KEY_BACKSPACE</t>
  </si>
  <si>
    <t>KEY_TAB</t>
  </si>
  <si>
    <t>KEY_SPACE</t>
  </si>
  <si>
    <t>KEY_DASH</t>
  </si>
  <si>
    <t>KEY_EQUALS</t>
  </si>
  <si>
    <t>KEY_LBRACE</t>
  </si>
  <si>
    <t>KEY_RBRACE</t>
  </si>
  <si>
    <t>KEY_BACKSLASH</t>
  </si>
  <si>
    <t>KEY_COLON</t>
  </si>
  <si>
    <t>KEY_APOSTROPHE</t>
  </si>
  <si>
    <t>KEY_GRAVE</t>
  </si>
  <si>
    <t>KEY_COMMA</t>
  </si>
  <si>
    <t>KEY_PERIOD</t>
  </si>
  <si>
    <t>KEY_FORWARDSLASH</t>
  </si>
  <si>
    <t>KEY_CAPSLOCK</t>
  </si>
  <si>
    <t>KEY_F1</t>
  </si>
  <si>
    <t>KEY_F2</t>
  </si>
  <si>
    <t>KEY_F3</t>
  </si>
  <si>
    <t>KEY_F4</t>
  </si>
  <si>
    <t>KEY_F5</t>
  </si>
  <si>
    <t>KEY_F6</t>
  </si>
  <si>
    <t>KEY_F7</t>
  </si>
  <si>
    <t>KEY_F8</t>
  </si>
  <si>
    <t>KEY_F9</t>
  </si>
  <si>
    <t>KEY_F10</t>
  </si>
  <si>
    <t>KEY_F11</t>
  </si>
  <si>
    <t>KEY_F12</t>
  </si>
  <si>
    <t>KEY_PRINTSCREEN</t>
  </si>
  <si>
    <t>KEY_SYSRQ</t>
  </si>
  <si>
    <t>KEY_SCROLLLOCK</t>
  </si>
  <si>
    <t>KEY_BREAK</t>
  </si>
  <si>
    <t>KEY_PAUSE</t>
  </si>
  <si>
    <t>KEY_INSERT</t>
  </si>
  <si>
    <t>KEY_HOME</t>
  </si>
  <si>
    <t>KEY_PAGEUP</t>
  </si>
  <si>
    <t>KEY_DELETE</t>
  </si>
  <si>
    <t>KEY_END</t>
  </si>
  <si>
    <t>KEY_PAGEDOWN</t>
  </si>
  <si>
    <t>KEY_RIGHT</t>
  </si>
  <si>
    <t>KEY_LEFT</t>
  </si>
  <si>
    <t>KEY_DOWN</t>
  </si>
  <si>
    <t>KEY_UP</t>
  </si>
  <si>
    <t>KEY_NP_NUMLOCK</t>
  </si>
  <si>
    <t>KEY_NP_FORWARDSLASH</t>
  </si>
  <si>
    <t>KEY_NP_STAR</t>
  </si>
  <si>
    <t>KEY_NP_DASH</t>
  </si>
  <si>
    <t>KEY_NP_PLUS</t>
  </si>
  <si>
    <t>KEY_NP_ENTER</t>
  </si>
  <si>
    <t>KEY_NP_1</t>
  </si>
  <si>
    <t>KEY_NP_2</t>
  </si>
  <si>
    <t>KEY_NP_3</t>
  </si>
  <si>
    <t>KEY_NP_4</t>
  </si>
  <si>
    <t>KEY_NP_5</t>
  </si>
  <si>
    <t>KEY_NP_6</t>
  </si>
  <si>
    <t>KEY_NP_7</t>
  </si>
  <si>
    <t>KEY_NP_8</t>
  </si>
  <si>
    <t>KEY_NP_9</t>
  </si>
  <si>
    <t>KEY_NP_0</t>
  </si>
  <si>
    <t>KEY_NP_PERIOD</t>
  </si>
  <si>
    <t>KEY_APP</t>
  </si>
  <si>
    <t>KEY_LCONTROL</t>
  </si>
  <si>
    <t>KEY_LSHIFT</t>
  </si>
  <si>
    <t>KEY_LALT</t>
  </si>
  <si>
    <t>KEY_LSUPER</t>
  </si>
  <si>
    <t>KEY_RCONTROL</t>
  </si>
  <si>
    <t>KEY_RSHIFT</t>
  </si>
  <si>
    <t>KEY_RALT</t>
  </si>
  <si>
    <t>KEY_RSUPER</t>
  </si>
  <si>
    <t>KEY_INVALID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</si>
</sst>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1</xdr:row>
      <xdr:rowOff>76201</xdr:rowOff>
    </xdr:from>
    <xdr:to>
      <xdr:col>26</xdr:col>
      <xdr:colOff>476250</xdr:colOff>
      <xdr:row>18</xdr:row>
      <xdr:rowOff>176933</xdr:rowOff>
    </xdr:to>
    <xdr:pic>
      <xdr:nvPicPr>
        <xdr:cNvPr id="2" name="Picture 1" descr="Diagram of a Type 4 keyboard with the key locations for each key.">
          <a:extLst>
            <a:ext uri="{FF2B5EF4-FFF2-40B4-BE49-F238E27FC236}">
              <a16:creationId xmlns:a16="http://schemas.microsoft.com/office/drawing/2014/main" id="{255E3C7E-1796-9463-4A12-2674918C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266701"/>
          <a:ext cx="10715625" cy="3339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EDE8-AF3A-421F-92F4-A8A1FF73ABB1}">
  <dimension ref="A1:J161"/>
  <sheetViews>
    <sheetView tabSelected="1" topLeftCell="A70" zoomScaleNormal="100" workbookViewId="0">
      <selection activeCell="I89" sqref="I89"/>
    </sheetView>
  </sheetViews>
  <sheetFormatPr defaultRowHeight="15" x14ac:dyDescent="0.25"/>
  <cols>
    <col min="1" max="1" width="20.5703125" bestFit="1" customWidth="1"/>
    <col min="2" max="2" width="46.42578125" bestFit="1" customWidth="1"/>
    <col min="3" max="3" width="14.7109375" bestFit="1" customWidth="1"/>
    <col min="4" max="4" width="12.140625" bestFit="1" customWidth="1"/>
    <col min="5" max="5" width="16.42578125" bestFit="1" customWidth="1"/>
    <col min="6" max="6" width="5.42578125" bestFit="1" customWidth="1"/>
    <col min="7" max="7" width="12.28515625" bestFit="1" customWidth="1"/>
    <col min="8" max="8" width="5.42578125" bestFit="1" customWidth="1"/>
    <col min="9" max="9" width="3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366</v>
      </c>
      <c r="G1" s="1" t="s">
        <v>5</v>
      </c>
      <c r="H1" s="1" t="s">
        <v>366</v>
      </c>
      <c r="J1" s="1" t="s">
        <v>373</v>
      </c>
    </row>
    <row r="2" spans="1:1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10" x14ac:dyDescent="0.25">
      <c r="A3" t="s">
        <v>6</v>
      </c>
      <c r="B3" t="s">
        <v>11</v>
      </c>
      <c r="C3" t="s">
        <v>8</v>
      </c>
      <c r="D3" t="s">
        <v>12</v>
      </c>
      <c r="E3" t="s">
        <v>13</v>
      </c>
    </row>
    <row r="4" spans="1:10" x14ac:dyDescent="0.25">
      <c r="A4" t="s">
        <v>6</v>
      </c>
      <c r="B4" t="s">
        <v>14</v>
      </c>
      <c r="C4" t="s">
        <v>8</v>
      </c>
      <c r="D4" t="s">
        <v>15</v>
      </c>
      <c r="E4" t="s">
        <v>16</v>
      </c>
    </row>
    <row r="5" spans="1:10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10" x14ac:dyDescent="0.25">
      <c r="A6" t="s">
        <v>17</v>
      </c>
      <c r="B6" t="s">
        <v>21</v>
      </c>
      <c r="C6" t="s">
        <v>19</v>
      </c>
      <c r="D6" t="s">
        <v>22</v>
      </c>
      <c r="E6" t="s">
        <v>23</v>
      </c>
      <c r="G6">
        <v>31</v>
      </c>
      <c r="I6" t="s">
        <v>384</v>
      </c>
    </row>
    <row r="7" spans="1:10" x14ac:dyDescent="0.25">
      <c r="A7" t="s">
        <v>17</v>
      </c>
      <c r="B7" t="s">
        <v>24</v>
      </c>
      <c r="C7" t="s">
        <v>19</v>
      </c>
      <c r="D7" t="s">
        <v>25</v>
      </c>
      <c r="E7" t="s">
        <v>26</v>
      </c>
      <c r="G7">
        <v>50</v>
      </c>
      <c r="I7" t="s">
        <v>385</v>
      </c>
    </row>
    <row r="8" spans="1:10" x14ac:dyDescent="0.25">
      <c r="A8" t="s">
        <v>17</v>
      </c>
      <c r="B8" t="s">
        <v>27</v>
      </c>
      <c r="C8" t="s">
        <v>19</v>
      </c>
      <c r="D8" t="s">
        <v>28</v>
      </c>
      <c r="E8" t="s">
        <v>29</v>
      </c>
      <c r="G8">
        <v>48</v>
      </c>
      <c r="I8" t="s">
        <v>386</v>
      </c>
    </row>
    <row r="9" spans="1:10" x14ac:dyDescent="0.25">
      <c r="A9" t="s">
        <v>17</v>
      </c>
      <c r="B9" t="s">
        <v>30</v>
      </c>
      <c r="C9" t="s">
        <v>19</v>
      </c>
      <c r="D9" t="s">
        <v>19</v>
      </c>
      <c r="E9" t="s">
        <v>31</v>
      </c>
      <c r="G9">
        <v>33</v>
      </c>
      <c r="I9" t="s">
        <v>387</v>
      </c>
    </row>
    <row r="10" spans="1:10" x14ac:dyDescent="0.25">
      <c r="A10" t="s">
        <v>17</v>
      </c>
      <c r="B10" t="s">
        <v>32</v>
      </c>
      <c r="C10" t="s">
        <v>19</v>
      </c>
      <c r="D10" t="s">
        <v>33</v>
      </c>
      <c r="E10" t="s">
        <v>34</v>
      </c>
      <c r="G10">
        <v>19</v>
      </c>
      <c r="I10" t="s">
        <v>388</v>
      </c>
    </row>
    <row r="11" spans="1:10" x14ac:dyDescent="0.25">
      <c r="A11" t="s">
        <v>17</v>
      </c>
      <c r="B11" t="s">
        <v>35</v>
      </c>
      <c r="C11" t="s">
        <v>19</v>
      </c>
      <c r="D11" t="s">
        <v>36</v>
      </c>
      <c r="E11" t="s">
        <v>37</v>
      </c>
      <c r="G11">
        <v>34</v>
      </c>
      <c r="I11" t="s">
        <v>389</v>
      </c>
    </row>
    <row r="12" spans="1:10" x14ac:dyDescent="0.25">
      <c r="A12" t="s">
        <v>17</v>
      </c>
      <c r="B12" t="s">
        <v>38</v>
      </c>
      <c r="C12" t="s">
        <v>19</v>
      </c>
      <c r="D12" t="s">
        <v>39</v>
      </c>
      <c r="E12" t="s">
        <v>40</v>
      </c>
      <c r="G12">
        <v>35</v>
      </c>
      <c r="I12" t="s">
        <v>390</v>
      </c>
    </row>
    <row r="13" spans="1:10" x14ac:dyDescent="0.25">
      <c r="A13" t="s">
        <v>17</v>
      </c>
      <c r="B13" t="s">
        <v>41</v>
      </c>
      <c r="C13" t="s">
        <v>19</v>
      </c>
      <c r="D13" t="s">
        <v>42</v>
      </c>
      <c r="E13" t="s">
        <v>43</v>
      </c>
      <c r="G13">
        <v>36</v>
      </c>
      <c r="I13" t="s">
        <v>391</v>
      </c>
    </row>
    <row r="14" spans="1:10" x14ac:dyDescent="0.25">
      <c r="A14" t="s">
        <v>17</v>
      </c>
      <c r="B14" t="s">
        <v>44</v>
      </c>
      <c r="C14" t="s">
        <v>19</v>
      </c>
      <c r="D14" t="s">
        <v>45</v>
      </c>
      <c r="E14" t="s">
        <v>46</v>
      </c>
      <c r="G14">
        <v>24</v>
      </c>
      <c r="I14" t="s">
        <v>392</v>
      </c>
    </row>
    <row r="15" spans="1:10" x14ac:dyDescent="0.25">
      <c r="A15" t="s">
        <v>17</v>
      </c>
      <c r="B15" t="s">
        <v>47</v>
      </c>
      <c r="C15" t="s">
        <v>19</v>
      </c>
      <c r="D15" t="s">
        <v>48</v>
      </c>
      <c r="E15" t="s">
        <v>49</v>
      </c>
      <c r="G15">
        <v>37</v>
      </c>
      <c r="I15" t="s">
        <v>393</v>
      </c>
    </row>
    <row r="16" spans="1:10" x14ac:dyDescent="0.25">
      <c r="A16" t="s">
        <v>17</v>
      </c>
      <c r="B16" t="s">
        <v>50</v>
      </c>
      <c r="C16" t="s">
        <v>19</v>
      </c>
      <c r="D16" t="s">
        <v>51</v>
      </c>
      <c r="E16" t="s">
        <v>52</v>
      </c>
      <c r="G16">
        <v>38</v>
      </c>
      <c r="I16" t="s">
        <v>394</v>
      </c>
    </row>
    <row r="17" spans="1:10" x14ac:dyDescent="0.25">
      <c r="A17" t="s">
        <v>17</v>
      </c>
      <c r="B17" t="s">
        <v>53</v>
      </c>
      <c r="C17" t="s">
        <v>19</v>
      </c>
      <c r="D17" t="s">
        <v>54</v>
      </c>
      <c r="E17" t="s">
        <v>55</v>
      </c>
      <c r="G17">
        <v>39</v>
      </c>
      <c r="I17" t="s">
        <v>395</v>
      </c>
    </row>
    <row r="18" spans="1:10" x14ac:dyDescent="0.25">
      <c r="A18" t="s">
        <v>17</v>
      </c>
      <c r="B18" t="s">
        <v>56</v>
      </c>
      <c r="C18" t="s">
        <v>19</v>
      </c>
      <c r="D18" t="s">
        <v>57</v>
      </c>
      <c r="E18" t="s">
        <v>58</v>
      </c>
      <c r="G18">
        <v>52</v>
      </c>
      <c r="I18" t="s">
        <v>396</v>
      </c>
    </row>
    <row r="19" spans="1:10" x14ac:dyDescent="0.25">
      <c r="A19" t="s">
        <v>17</v>
      </c>
      <c r="B19" t="s">
        <v>59</v>
      </c>
      <c r="C19" t="s">
        <v>19</v>
      </c>
      <c r="D19" t="s">
        <v>60</v>
      </c>
      <c r="E19" t="s">
        <v>61</v>
      </c>
      <c r="G19">
        <v>51</v>
      </c>
      <c r="I19" t="s">
        <v>397</v>
      </c>
    </row>
    <row r="20" spans="1:10" x14ac:dyDescent="0.25">
      <c r="A20" t="s">
        <v>17</v>
      </c>
      <c r="B20" t="s">
        <v>62</v>
      </c>
      <c r="C20" t="s">
        <v>19</v>
      </c>
      <c r="D20" t="s">
        <v>34</v>
      </c>
      <c r="E20" t="s">
        <v>63</v>
      </c>
      <c r="G20">
        <v>25</v>
      </c>
      <c r="I20" t="s">
        <v>398</v>
      </c>
    </row>
    <row r="21" spans="1:10" x14ac:dyDescent="0.25">
      <c r="A21" t="s">
        <v>17</v>
      </c>
      <c r="B21" t="s">
        <v>64</v>
      </c>
      <c r="C21" t="s">
        <v>19</v>
      </c>
      <c r="D21" t="s">
        <v>65</v>
      </c>
      <c r="E21" t="s">
        <v>66</v>
      </c>
      <c r="G21">
        <v>26</v>
      </c>
      <c r="I21" t="s">
        <v>399</v>
      </c>
    </row>
    <row r="22" spans="1:10" x14ac:dyDescent="0.25">
      <c r="A22" t="s">
        <v>17</v>
      </c>
      <c r="B22" t="s">
        <v>67</v>
      </c>
      <c r="C22" t="s">
        <v>19</v>
      </c>
      <c r="D22" t="s">
        <v>68</v>
      </c>
      <c r="E22" t="s">
        <v>57</v>
      </c>
      <c r="G22">
        <v>17</v>
      </c>
      <c r="I22" t="s">
        <v>400</v>
      </c>
    </row>
    <row r="23" spans="1:10" x14ac:dyDescent="0.25">
      <c r="A23" t="s">
        <v>17</v>
      </c>
      <c r="B23" t="s">
        <v>69</v>
      </c>
      <c r="C23" t="s">
        <v>19</v>
      </c>
      <c r="D23" t="s">
        <v>70</v>
      </c>
      <c r="E23" t="s">
        <v>65</v>
      </c>
      <c r="G23">
        <v>20</v>
      </c>
      <c r="I23" t="s">
        <v>401</v>
      </c>
    </row>
    <row r="24" spans="1:10" x14ac:dyDescent="0.25">
      <c r="A24" t="s">
        <v>17</v>
      </c>
      <c r="B24" t="s">
        <v>71</v>
      </c>
      <c r="C24" t="s">
        <v>19</v>
      </c>
      <c r="D24" t="s">
        <v>72</v>
      </c>
      <c r="E24" t="s">
        <v>73</v>
      </c>
      <c r="G24">
        <v>32</v>
      </c>
      <c r="I24" t="s">
        <v>402</v>
      </c>
    </row>
    <row r="25" spans="1:10" x14ac:dyDescent="0.25">
      <c r="A25" t="s">
        <v>17</v>
      </c>
      <c r="B25" t="s">
        <v>74</v>
      </c>
      <c r="C25" t="s">
        <v>19</v>
      </c>
      <c r="D25" t="s">
        <v>46</v>
      </c>
      <c r="E25" t="s">
        <v>68</v>
      </c>
      <c r="G25">
        <v>21</v>
      </c>
      <c r="I25" t="s">
        <v>403</v>
      </c>
    </row>
    <row r="26" spans="1:10" x14ac:dyDescent="0.25">
      <c r="A26" t="s">
        <v>17</v>
      </c>
      <c r="B26" t="s">
        <v>75</v>
      </c>
      <c r="C26" t="s">
        <v>19</v>
      </c>
      <c r="D26" t="s">
        <v>63</v>
      </c>
      <c r="E26" t="s">
        <v>72</v>
      </c>
      <c r="G26">
        <v>23</v>
      </c>
      <c r="I26" t="s">
        <v>404</v>
      </c>
    </row>
    <row r="27" spans="1:10" x14ac:dyDescent="0.25">
      <c r="A27" t="s">
        <v>17</v>
      </c>
      <c r="B27" t="s">
        <v>76</v>
      </c>
      <c r="C27" t="s">
        <v>19</v>
      </c>
      <c r="D27" t="s">
        <v>66</v>
      </c>
      <c r="E27" t="s">
        <v>77</v>
      </c>
      <c r="G27">
        <v>49</v>
      </c>
      <c r="I27" t="s">
        <v>405</v>
      </c>
    </row>
    <row r="28" spans="1:10" x14ac:dyDescent="0.25">
      <c r="A28" t="s">
        <v>17</v>
      </c>
      <c r="B28" t="s">
        <v>78</v>
      </c>
      <c r="C28" t="s">
        <v>19</v>
      </c>
      <c r="D28" t="s">
        <v>79</v>
      </c>
      <c r="E28" t="s">
        <v>60</v>
      </c>
      <c r="G28">
        <v>18</v>
      </c>
      <c r="I28" t="s">
        <v>406</v>
      </c>
    </row>
    <row r="29" spans="1:10" x14ac:dyDescent="0.25">
      <c r="A29" t="s">
        <v>17</v>
      </c>
      <c r="B29" t="s">
        <v>80</v>
      </c>
      <c r="C29" t="s">
        <v>19</v>
      </c>
      <c r="D29" t="s">
        <v>81</v>
      </c>
      <c r="E29" t="s">
        <v>82</v>
      </c>
      <c r="G29">
        <v>47</v>
      </c>
      <c r="I29" t="s">
        <v>407</v>
      </c>
    </row>
    <row r="30" spans="1:10" x14ac:dyDescent="0.25">
      <c r="A30" t="s">
        <v>17</v>
      </c>
      <c r="B30" t="s">
        <v>83</v>
      </c>
      <c r="C30" t="s">
        <v>19</v>
      </c>
      <c r="D30" t="s">
        <v>84</v>
      </c>
      <c r="E30" t="s">
        <v>70</v>
      </c>
      <c r="G30">
        <v>22</v>
      </c>
      <c r="I30" t="s">
        <v>408</v>
      </c>
    </row>
    <row r="31" spans="1:10" x14ac:dyDescent="0.25">
      <c r="A31" t="s">
        <v>17</v>
      </c>
      <c r="B31" t="s">
        <v>85</v>
      </c>
      <c r="C31" t="s">
        <v>19</v>
      </c>
      <c r="D31" t="s">
        <v>86</v>
      </c>
      <c r="E31" t="s">
        <v>87</v>
      </c>
      <c r="G31">
        <v>46</v>
      </c>
      <c r="I31" t="s">
        <v>409</v>
      </c>
      <c r="J31" s="1" t="s">
        <v>374</v>
      </c>
    </row>
    <row r="32" spans="1:10" x14ac:dyDescent="0.25">
      <c r="A32" t="s">
        <v>17</v>
      </c>
      <c r="B32" t="s">
        <v>88</v>
      </c>
      <c r="C32" t="s">
        <v>19</v>
      </c>
      <c r="D32" t="s">
        <v>23</v>
      </c>
      <c r="E32" t="s">
        <v>89</v>
      </c>
      <c r="G32">
        <v>2</v>
      </c>
      <c r="I32" t="s">
        <v>410</v>
      </c>
      <c r="J32" t="s">
        <v>379</v>
      </c>
    </row>
    <row r="33" spans="1:10" x14ac:dyDescent="0.25">
      <c r="A33" t="s">
        <v>17</v>
      </c>
      <c r="B33" t="s">
        <v>90</v>
      </c>
      <c r="C33" t="s">
        <v>19</v>
      </c>
      <c r="D33" t="s">
        <v>73</v>
      </c>
      <c r="E33" t="s">
        <v>91</v>
      </c>
      <c r="G33">
        <v>3</v>
      </c>
      <c r="I33" t="s">
        <v>411</v>
      </c>
      <c r="J33" t="s">
        <v>380</v>
      </c>
    </row>
    <row r="34" spans="1:10" x14ac:dyDescent="0.25">
      <c r="A34" t="s">
        <v>17</v>
      </c>
      <c r="B34" t="s">
        <v>92</v>
      </c>
      <c r="C34" t="s">
        <v>19</v>
      </c>
      <c r="D34" t="s">
        <v>31</v>
      </c>
      <c r="E34" t="s">
        <v>22</v>
      </c>
      <c r="G34">
        <v>4</v>
      </c>
      <c r="I34" t="s">
        <v>412</v>
      </c>
      <c r="J34" t="s">
        <v>375</v>
      </c>
    </row>
    <row r="35" spans="1:10" x14ac:dyDescent="0.25">
      <c r="A35" t="s">
        <v>17</v>
      </c>
      <c r="B35" t="s">
        <v>93</v>
      </c>
      <c r="C35" t="s">
        <v>19</v>
      </c>
      <c r="D35" t="s">
        <v>37</v>
      </c>
      <c r="E35" t="s">
        <v>25</v>
      </c>
      <c r="G35">
        <v>5</v>
      </c>
      <c r="I35" t="s">
        <v>413</v>
      </c>
      <c r="J35" t="s">
        <v>376</v>
      </c>
    </row>
    <row r="36" spans="1:10" x14ac:dyDescent="0.25">
      <c r="A36" t="s">
        <v>17</v>
      </c>
      <c r="B36" t="s">
        <v>94</v>
      </c>
      <c r="C36" t="s">
        <v>19</v>
      </c>
      <c r="D36" t="s">
        <v>40</v>
      </c>
      <c r="E36" t="s">
        <v>28</v>
      </c>
      <c r="G36">
        <v>6</v>
      </c>
      <c r="I36" t="s">
        <v>414</v>
      </c>
      <c r="J36" t="s">
        <v>377</v>
      </c>
    </row>
    <row r="37" spans="1:10" x14ac:dyDescent="0.25">
      <c r="A37" t="s">
        <v>17</v>
      </c>
      <c r="B37" t="s">
        <v>95</v>
      </c>
      <c r="C37" t="s">
        <v>19</v>
      </c>
      <c r="D37" t="s">
        <v>43</v>
      </c>
      <c r="E37" t="s">
        <v>19</v>
      </c>
      <c r="G37">
        <v>7</v>
      </c>
      <c r="I37" t="s">
        <v>415</v>
      </c>
      <c r="J37" t="s">
        <v>378</v>
      </c>
    </row>
    <row r="38" spans="1:10" x14ac:dyDescent="0.25">
      <c r="A38" t="s">
        <v>17</v>
      </c>
      <c r="B38" t="s">
        <v>96</v>
      </c>
      <c r="C38" t="s">
        <v>19</v>
      </c>
      <c r="D38" t="s">
        <v>49</v>
      </c>
      <c r="E38" t="s">
        <v>33</v>
      </c>
      <c r="G38">
        <v>8</v>
      </c>
      <c r="I38" t="s">
        <v>416</v>
      </c>
    </row>
    <row r="39" spans="1:10" x14ac:dyDescent="0.25">
      <c r="A39" t="s">
        <v>17</v>
      </c>
      <c r="B39" t="s">
        <v>97</v>
      </c>
      <c r="C39" t="s">
        <v>19</v>
      </c>
      <c r="D39" t="s">
        <v>52</v>
      </c>
      <c r="E39" t="s">
        <v>36</v>
      </c>
      <c r="G39">
        <v>9</v>
      </c>
      <c r="I39" t="s">
        <v>417</v>
      </c>
    </row>
    <row r="40" spans="1:10" x14ac:dyDescent="0.25">
      <c r="A40" t="s">
        <v>17</v>
      </c>
      <c r="B40" t="s">
        <v>98</v>
      </c>
      <c r="C40" t="s">
        <v>19</v>
      </c>
      <c r="D40" t="s">
        <v>55</v>
      </c>
      <c r="E40" t="s">
        <v>39</v>
      </c>
      <c r="G40">
        <v>10</v>
      </c>
      <c r="I40" t="s">
        <v>418</v>
      </c>
    </row>
    <row r="41" spans="1:10" x14ac:dyDescent="0.25">
      <c r="A41" t="s">
        <v>17</v>
      </c>
      <c r="B41" t="s">
        <v>99</v>
      </c>
      <c r="C41" t="s">
        <v>19</v>
      </c>
      <c r="D41" t="s">
        <v>100</v>
      </c>
      <c r="E41" t="s">
        <v>42</v>
      </c>
      <c r="G41">
        <v>11</v>
      </c>
      <c r="I41" t="s">
        <v>419</v>
      </c>
    </row>
    <row r="42" spans="1:10" x14ac:dyDescent="0.25">
      <c r="A42" t="s">
        <v>17</v>
      </c>
      <c r="B42" t="s">
        <v>101</v>
      </c>
      <c r="C42" t="s">
        <v>19</v>
      </c>
      <c r="D42" t="s">
        <v>102</v>
      </c>
      <c r="E42" t="s">
        <v>84</v>
      </c>
      <c r="G42">
        <v>43</v>
      </c>
      <c r="I42" t="s">
        <v>420</v>
      </c>
    </row>
    <row r="43" spans="1:10" x14ac:dyDescent="0.25">
      <c r="A43" t="s">
        <v>17</v>
      </c>
      <c r="B43" t="s">
        <v>103</v>
      </c>
      <c r="C43" t="s">
        <v>19</v>
      </c>
      <c r="D43" t="s">
        <v>104</v>
      </c>
      <c r="E43" t="s">
        <v>8</v>
      </c>
      <c r="G43">
        <v>110</v>
      </c>
      <c r="I43" t="s">
        <v>421</v>
      </c>
    </row>
    <row r="44" spans="1:10" x14ac:dyDescent="0.25">
      <c r="A44" t="s">
        <v>17</v>
      </c>
      <c r="B44" t="s">
        <v>105</v>
      </c>
      <c r="C44" t="s">
        <v>19</v>
      </c>
      <c r="D44" t="s">
        <v>106</v>
      </c>
      <c r="E44" t="s">
        <v>51</v>
      </c>
      <c r="G44">
        <v>15</v>
      </c>
      <c r="I44" t="s">
        <v>422</v>
      </c>
    </row>
    <row r="45" spans="1:10" x14ac:dyDescent="0.25">
      <c r="A45" t="s">
        <v>17</v>
      </c>
      <c r="B45" t="s">
        <v>107</v>
      </c>
      <c r="C45" t="s">
        <v>19</v>
      </c>
      <c r="D45" t="s">
        <v>108</v>
      </c>
      <c r="E45" t="s">
        <v>54</v>
      </c>
      <c r="G45">
        <v>16</v>
      </c>
      <c r="I45" t="s">
        <v>423</v>
      </c>
    </row>
    <row r="46" spans="1:10" x14ac:dyDescent="0.25">
      <c r="A46" t="s">
        <v>17</v>
      </c>
      <c r="B46" t="s">
        <v>109</v>
      </c>
      <c r="C46" t="s">
        <v>19</v>
      </c>
      <c r="D46" t="s">
        <v>87</v>
      </c>
      <c r="E46" t="s">
        <v>110</v>
      </c>
      <c r="G46">
        <v>61</v>
      </c>
      <c r="I46" t="s">
        <v>424</v>
      </c>
    </row>
    <row r="47" spans="1:10" x14ac:dyDescent="0.25">
      <c r="A47" t="s">
        <v>17</v>
      </c>
      <c r="B47" t="s">
        <v>111</v>
      </c>
      <c r="C47" t="s">
        <v>19</v>
      </c>
      <c r="D47" t="s">
        <v>82</v>
      </c>
      <c r="E47" t="s">
        <v>45</v>
      </c>
      <c r="G47">
        <v>12</v>
      </c>
      <c r="I47" t="s">
        <v>425</v>
      </c>
    </row>
    <row r="48" spans="1:10" x14ac:dyDescent="0.25">
      <c r="A48" t="s">
        <v>17</v>
      </c>
      <c r="B48" t="s">
        <v>112</v>
      </c>
      <c r="C48" t="s">
        <v>19</v>
      </c>
      <c r="D48" t="s">
        <v>29</v>
      </c>
      <c r="E48" t="s">
        <v>48</v>
      </c>
      <c r="G48">
        <v>13</v>
      </c>
      <c r="I48" t="s">
        <v>426</v>
      </c>
    </row>
    <row r="49" spans="1:9" x14ac:dyDescent="0.25">
      <c r="A49" t="s">
        <v>17</v>
      </c>
      <c r="B49" t="s">
        <v>113</v>
      </c>
      <c r="C49" t="s">
        <v>19</v>
      </c>
      <c r="D49" t="s">
        <v>77</v>
      </c>
      <c r="E49" t="s">
        <v>79</v>
      </c>
      <c r="G49">
        <v>27</v>
      </c>
      <c r="I49" t="s">
        <v>427</v>
      </c>
    </row>
    <row r="50" spans="1:9" x14ac:dyDescent="0.25">
      <c r="A50" t="s">
        <v>17</v>
      </c>
      <c r="B50" t="s">
        <v>114</v>
      </c>
      <c r="C50" t="s">
        <v>19</v>
      </c>
      <c r="D50" t="s">
        <v>26</v>
      </c>
      <c r="E50" t="s">
        <v>81</v>
      </c>
      <c r="G50">
        <v>28</v>
      </c>
      <c r="I50" t="s">
        <v>428</v>
      </c>
    </row>
    <row r="51" spans="1:9" x14ac:dyDescent="0.25">
      <c r="A51" t="s">
        <v>17</v>
      </c>
      <c r="B51" t="s">
        <v>115</v>
      </c>
      <c r="C51" t="s">
        <v>19</v>
      </c>
      <c r="D51" t="s">
        <v>61</v>
      </c>
      <c r="E51" t="s">
        <v>108</v>
      </c>
      <c r="G51">
        <v>29</v>
      </c>
      <c r="I51" t="s">
        <v>429</v>
      </c>
    </row>
    <row r="52" spans="1:9" x14ac:dyDescent="0.25">
      <c r="A52" t="s">
        <v>17</v>
      </c>
      <c r="B52" t="s">
        <v>116</v>
      </c>
      <c r="C52" t="s">
        <v>19</v>
      </c>
      <c r="D52" t="s">
        <v>58</v>
      </c>
      <c r="E52" t="s">
        <v>108</v>
      </c>
      <c r="G52">
        <v>42</v>
      </c>
    </row>
    <row r="53" spans="1:9" x14ac:dyDescent="0.25">
      <c r="A53" t="s">
        <v>17</v>
      </c>
      <c r="B53" t="s">
        <v>117</v>
      </c>
      <c r="C53" t="s">
        <v>19</v>
      </c>
      <c r="D53" t="s">
        <v>118</v>
      </c>
      <c r="E53" t="s">
        <v>100</v>
      </c>
      <c r="G53">
        <v>40</v>
      </c>
      <c r="I53" t="s">
        <v>430</v>
      </c>
    </row>
    <row r="54" spans="1:9" x14ac:dyDescent="0.25">
      <c r="A54" t="s">
        <v>17</v>
      </c>
      <c r="B54" t="s">
        <v>119</v>
      </c>
      <c r="C54" t="s">
        <v>19</v>
      </c>
      <c r="D54" t="s">
        <v>120</v>
      </c>
      <c r="E54" t="s">
        <v>102</v>
      </c>
      <c r="G54">
        <v>41</v>
      </c>
      <c r="I54" t="s">
        <v>431</v>
      </c>
    </row>
    <row r="55" spans="1:9" x14ac:dyDescent="0.25">
      <c r="A55" t="s">
        <v>17</v>
      </c>
      <c r="B55" t="s">
        <v>121</v>
      </c>
      <c r="C55" t="s">
        <v>19</v>
      </c>
      <c r="D55" t="s">
        <v>122</v>
      </c>
      <c r="E55" t="s">
        <v>104</v>
      </c>
      <c r="G55">
        <v>1</v>
      </c>
      <c r="I55" t="s">
        <v>432</v>
      </c>
    </row>
    <row r="56" spans="1:9" x14ac:dyDescent="0.25">
      <c r="A56" t="s">
        <v>17</v>
      </c>
      <c r="B56" t="s">
        <v>123</v>
      </c>
      <c r="C56" t="s">
        <v>19</v>
      </c>
      <c r="D56" t="s">
        <v>124</v>
      </c>
      <c r="E56" t="s">
        <v>118</v>
      </c>
      <c r="G56">
        <v>53</v>
      </c>
      <c r="I56" t="s">
        <v>433</v>
      </c>
    </row>
    <row r="57" spans="1:9" x14ac:dyDescent="0.25">
      <c r="A57" t="s">
        <v>17</v>
      </c>
      <c r="B57" t="s">
        <v>125</v>
      </c>
      <c r="C57" t="s">
        <v>19</v>
      </c>
      <c r="D57" t="s">
        <v>126</v>
      </c>
      <c r="E57" t="s">
        <v>120</v>
      </c>
      <c r="G57">
        <v>54</v>
      </c>
      <c r="I57" t="s">
        <v>434</v>
      </c>
    </row>
    <row r="58" spans="1:9" x14ac:dyDescent="0.25">
      <c r="A58" t="s">
        <v>17</v>
      </c>
      <c r="B58" t="s">
        <v>127</v>
      </c>
      <c r="C58" t="s">
        <v>19</v>
      </c>
      <c r="D58" t="s">
        <v>128</v>
      </c>
      <c r="E58" t="s">
        <v>122</v>
      </c>
      <c r="G58">
        <v>55</v>
      </c>
      <c r="I58" t="s">
        <v>435</v>
      </c>
    </row>
    <row r="59" spans="1:9" x14ac:dyDescent="0.25">
      <c r="A59" t="s">
        <v>17</v>
      </c>
      <c r="B59" t="s">
        <v>129</v>
      </c>
      <c r="C59" t="s">
        <v>19</v>
      </c>
      <c r="D59" t="s">
        <v>110</v>
      </c>
      <c r="E59" t="s">
        <v>130</v>
      </c>
      <c r="G59">
        <v>30</v>
      </c>
      <c r="I59" t="s">
        <v>436</v>
      </c>
    </row>
    <row r="60" spans="1:9" x14ac:dyDescent="0.25">
      <c r="A60" t="s">
        <v>17</v>
      </c>
      <c r="B60" t="s">
        <v>131</v>
      </c>
      <c r="C60" t="s">
        <v>19</v>
      </c>
      <c r="D60" t="s">
        <v>130</v>
      </c>
      <c r="E60" t="s">
        <v>132</v>
      </c>
      <c r="G60">
        <v>112</v>
      </c>
      <c r="I60" t="s">
        <v>437</v>
      </c>
    </row>
    <row r="61" spans="1:9" x14ac:dyDescent="0.25">
      <c r="A61" t="s">
        <v>17</v>
      </c>
      <c r="B61" t="s">
        <v>133</v>
      </c>
      <c r="C61" t="s">
        <v>19</v>
      </c>
      <c r="D61" t="s">
        <v>132</v>
      </c>
      <c r="E61" t="s">
        <v>134</v>
      </c>
      <c r="G61">
        <v>113</v>
      </c>
      <c r="I61" t="s">
        <v>438</v>
      </c>
    </row>
    <row r="62" spans="1:9" x14ac:dyDescent="0.25">
      <c r="A62" t="s">
        <v>17</v>
      </c>
      <c r="B62" t="s">
        <v>135</v>
      </c>
      <c r="C62" t="s">
        <v>19</v>
      </c>
      <c r="D62" t="s">
        <v>134</v>
      </c>
      <c r="E62" t="s">
        <v>136</v>
      </c>
      <c r="G62">
        <v>114</v>
      </c>
      <c r="I62" t="s">
        <v>439</v>
      </c>
    </row>
    <row r="63" spans="1:9" x14ac:dyDescent="0.25">
      <c r="A63" t="s">
        <v>17</v>
      </c>
      <c r="B63" t="s">
        <v>137</v>
      </c>
      <c r="C63" t="s">
        <v>19</v>
      </c>
      <c r="D63" t="s">
        <v>136</v>
      </c>
      <c r="E63" t="s">
        <v>138</v>
      </c>
      <c r="G63">
        <v>115</v>
      </c>
      <c r="I63" t="s">
        <v>440</v>
      </c>
    </row>
    <row r="64" spans="1:9" x14ac:dyDescent="0.25">
      <c r="A64" t="s">
        <v>17</v>
      </c>
      <c r="B64" t="s">
        <v>139</v>
      </c>
      <c r="C64" t="s">
        <v>19</v>
      </c>
      <c r="D64" t="s">
        <v>138</v>
      </c>
      <c r="E64" t="s">
        <v>140</v>
      </c>
      <c r="G64">
        <v>116</v>
      </c>
      <c r="I64" t="s">
        <v>441</v>
      </c>
    </row>
    <row r="65" spans="1:9" x14ac:dyDescent="0.25">
      <c r="A65" t="s">
        <v>17</v>
      </c>
      <c r="B65" t="s">
        <v>141</v>
      </c>
      <c r="C65" t="s">
        <v>19</v>
      </c>
      <c r="D65" t="s">
        <v>140</v>
      </c>
      <c r="E65" t="s">
        <v>142</v>
      </c>
      <c r="G65">
        <v>117</v>
      </c>
      <c r="I65" t="s">
        <v>442</v>
      </c>
    </row>
    <row r="66" spans="1:9" x14ac:dyDescent="0.25">
      <c r="A66" t="s">
        <v>17</v>
      </c>
      <c r="B66" t="s">
        <v>143</v>
      </c>
      <c r="C66" t="s">
        <v>19</v>
      </c>
      <c r="D66" t="s">
        <v>142</v>
      </c>
      <c r="E66" t="s">
        <v>144</v>
      </c>
      <c r="G66">
        <v>118</v>
      </c>
      <c r="I66" t="s">
        <v>443</v>
      </c>
    </row>
    <row r="67" spans="1:9" x14ac:dyDescent="0.25">
      <c r="A67" t="s">
        <v>17</v>
      </c>
      <c r="B67" t="s">
        <v>145</v>
      </c>
      <c r="C67" t="s">
        <v>19</v>
      </c>
      <c r="D67" t="s">
        <v>144</v>
      </c>
      <c r="E67" t="s">
        <v>146</v>
      </c>
      <c r="G67">
        <v>119</v>
      </c>
      <c r="I67" t="s">
        <v>444</v>
      </c>
    </row>
    <row r="68" spans="1:9" x14ac:dyDescent="0.25">
      <c r="A68" t="s">
        <v>17</v>
      </c>
      <c r="B68" t="s">
        <v>147</v>
      </c>
      <c r="C68" t="s">
        <v>19</v>
      </c>
      <c r="D68" t="s">
        <v>146</v>
      </c>
      <c r="E68" t="s">
        <v>148</v>
      </c>
      <c r="G68">
        <v>120</v>
      </c>
      <c r="I68" t="s">
        <v>445</v>
      </c>
    </row>
    <row r="69" spans="1:9" x14ac:dyDescent="0.25">
      <c r="A69" t="s">
        <v>17</v>
      </c>
      <c r="B69" t="s">
        <v>149</v>
      </c>
      <c r="C69" t="s">
        <v>19</v>
      </c>
      <c r="D69" t="s">
        <v>148</v>
      </c>
      <c r="E69" t="s">
        <v>150</v>
      </c>
      <c r="G69">
        <v>121</v>
      </c>
      <c r="I69" t="s">
        <v>446</v>
      </c>
    </row>
    <row r="70" spans="1:9" x14ac:dyDescent="0.25">
      <c r="A70" t="s">
        <v>17</v>
      </c>
      <c r="B70" t="s">
        <v>151</v>
      </c>
      <c r="C70" t="s">
        <v>19</v>
      </c>
      <c r="D70" t="s">
        <v>150</v>
      </c>
      <c r="E70" t="s">
        <v>152</v>
      </c>
      <c r="G70">
        <v>122</v>
      </c>
      <c r="I70" t="s">
        <v>447</v>
      </c>
    </row>
    <row r="71" spans="1:9" x14ac:dyDescent="0.25">
      <c r="A71" t="s">
        <v>17</v>
      </c>
      <c r="B71" t="s">
        <v>153</v>
      </c>
      <c r="C71" t="s">
        <v>19</v>
      </c>
      <c r="D71" t="s">
        <v>154</v>
      </c>
      <c r="E71" t="s">
        <v>155</v>
      </c>
      <c r="G71">
        <v>123</v>
      </c>
      <c r="I71" t="s">
        <v>448</v>
      </c>
    </row>
    <row r="72" spans="1:9" ht="33" customHeight="1" x14ac:dyDescent="0.25">
      <c r="A72" t="s">
        <v>17</v>
      </c>
      <c r="B72" t="s">
        <v>156</v>
      </c>
      <c r="C72" t="s">
        <v>19</v>
      </c>
      <c r="D72" t="s">
        <v>157</v>
      </c>
      <c r="E72" t="s">
        <v>158</v>
      </c>
      <c r="G72">
        <v>124</v>
      </c>
      <c r="I72" t="s">
        <v>449</v>
      </c>
    </row>
    <row r="73" spans="1:9" x14ac:dyDescent="0.25">
      <c r="E73" t="s">
        <v>197</v>
      </c>
      <c r="F73">
        <v>1</v>
      </c>
      <c r="I73" t="s">
        <v>450</v>
      </c>
    </row>
    <row r="74" spans="1:9" x14ac:dyDescent="0.25">
      <c r="A74" t="s">
        <v>17</v>
      </c>
      <c r="B74" t="s">
        <v>159</v>
      </c>
      <c r="C74" t="s">
        <v>19</v>
      </c>
      <c r="D74" t="s">
        <v>160</v>
      </c>
      <c r="E74" t="s">
        <v>157</v>
      </c>
      <c r="G74">
        <v>125</v>
      </c>
      <c r="I74" t="s">
        <v>451</v>
      </c>
    </row>
    <row r="75" spans="1:9" x14ac:dyDescent="0.25">
      <c r="A75" t="s">
        <v>17</v>
      </c>
      <c r="B75" t="s">
        <v>161</v>
      </c>
      <c r="C75" t="s">
        <v>19</v>
      </c>
      <c r="D75" t="s">
        <v>162</v>
      </c>
      <c r="E75" t="s">
        <v>163</v>
      </c>
      <c r="G75">
        <v>126</v>
      </c>
    </row>
    <row r="76" spans="1:9" x14ac:dyDescent="0.25">
      <c r="E76" t="s">
        <v>367</v>
      </c>
      <c r="F76">
        <v>2</v>
      </c>
      <c r="I76" t="s">
        <v>452</v>
      </c>
    </row>
    <row r="77" spans="1:9" x14ac:dyDescent="0.25">
      <c r="E77" t="s">
        <v>154</v>
      </c>
      <c r="F77">
        <v>3</v>
      </c>
      <c r="I77" t="s">
        <v>453</v>
      </c>
    </row>
    <row r="78" spans="1:9" x14ac:dyDescent="0.25">
      <c r="A78" t="s">
        <v>17</v>
      </c>
      <c r="B78" t="s">
        <v>164</v>
      </c>
      <c r="C78" t="s">
        <v>19</v>
      </c>
      <c r="D78" t="s">
        <v>165</v>
      </c>
      <c r="E78" t="s">
        <v>166</v>
      </c>
      <c r="G78">
        <v>75</v>
      </c>
      <c r="I78" t="s">
        <v>454</v>
      </c>
    </row>
    <row r="79" spans="1:9" x14ac:dyDescent="0.25">
      <c r="A79" t="s">
        <v>17</v>
      </c>
      <c r="B79" t="s">
        <v>167</v>
      </c>
      <c r="C79" t="s">
        <v>19</v>
      </c>
      <c r="D79" t="s">
        <v>168</v>
      </c>
      <c r="E79" t="s">
        <v>169</v>
      </c>
      <c r="G79">
        <v>80</v>
      </c>
      <c r="I79" t="s">
        <v>455</v>
      </c>
    </row>
    <row r="80" spans="1:9" x14ac:dyDescent="0.25">
      <c r="A80" t="s">
        <v>17</v>
      </c>
      <c r="B80" t="s">
        <v>170</v>
      </c>
      <c r="C80" t="s">
        <v>19</v>
      </c>
      <c r="D80" t="s">
        <v>171</v>
      </c>
      <c r="E80" t="s">
        <v>172</v>
      </c>
      <c r="G80">
        <v>85</v>
      </c>
      <c r="I80" t="s">
        <v>456</v>
      </c>
    </row>
    <row r="81" spans="1:9" x14ac:dyDescent="0.25">
      <c r="A81" t="s">
        <v>17</v>
      </c>
      <c r="B81" t="s">
        <v>173</v>
      </c>
      <c r="C81" t="s">
        <v>19</v>
      </c>
      <c r="D81" t="s">
        <v>174</v>
      </c>
      <c r="E81" t="s">
        <v>175</v>
      </c>
      <c r="G81">
        <v>76</v>
      </c>
      <c r="I81" t="s">
        <v>457</v>
      </c>
    </row>
    <row r="82" spans="1:9" x14ac:dyDescent="0.25">
      <c r="A82" t="s">
        <v>17</v>
      </c>
      <c r="B82" t="s">
        <v>176</v>
      </c>
      <c r="C82" t="s">
        <v>19</v>
      </c>
      <c r="D82" t="s">
        <v>177</v>
      </c>
      <c r="E82" t="s">
        <v>178</v>
      </c>
      <c r="G82">
        <v>81</v>
      </c>
      <c r="I82" t="s">
        <v>458</v>
      </c>
    </row>
    <row r="83" spans="1:9" x14ac:dyDescent="0.25">
      <c r="A83" t="s">
        <v>17</v>
      </c>
      <c r="B83" t="s">
        <v>179</v>
      </c>
      <c r="C83" t="s">
        <v>19</v>
      </c>
      <c r="D83" t="s">
        <v>180</v>
      </c>
      <c r="E83" t="s">
        <v>181</v>
      </c>
      <c r="G83">
        <v>86</v>
      </c>
      <c r="I83" t="s">
        <v>459</v>
      </c>
    </row>
    <row r="84" spans="1:9" x14ac:dyDescent="0.25">
      <c r="A84" t="s">
        <v>17</v>
      </c>
      <c r="B84" t="s">
        <v>182</v>
      </c>
      <c r="C84" t="s">
        <v>19</v>
      </c>
      <c r="D84" t="s">
        <v>183</v>
      </c>
      <c r="E84" t="s">
        <v>184</v>
      </c>
      <c r="G84">
        <v>89</v>
      </c>
      <c r="I84" t="s">
        <v>460</v>
      </c>
    </row>
    <row r="85" spans="1:9" x14ac:dyDescent="0.25">
      <c r="A85" t="s">
        <v>17</v>
      </c>
      <c r="B85" t="s">
        <v>185</v>
      </c>
      <c r="C85" t="s">
        <v>19</v>
      </c>
      <c r="D85" t="s">
        <v>186</v>
      </c>
      <c r="E85" t="s">
        <v>187</v>
      </c>
      <c r="G85">
        <v>79</v>
      </c>
      <c r="I85" t="s">
        <v>461</v>
      </c>
    </row>
    <row r="86" spans="1:9" x14ac:dyDescent="0.25">
      <c r="A86" t="s">
        <v>17</v>
      </c>
      <c r="B86" t="s">
        <v>188</v>
      </c>
      <c r="C86" t="s">
        <v>19</v>
      </c>
      <c r="D86" t="s">
        <v>189</v>
      </c>
      <c r="E86" t="s">
        <v>190</v>
      </c>
      <c r="G86">
        <v>84</v>
      </c>
      <c r="I86" t="s">
        <v>462</v>
      </c>
    </row>
    <row r="87" spans="1:9" x14ac:dyDescent="0.25">
      <c r="A87" t="s">
        <v>17</v>
      </c>
      <c r="B87" t="s">
        <v>191</v>
      </c>
      <c r="C87" t="s">
        <v>19</v>
      </c>
      <c r="D87" t="s">
        <v>192</v>
      </c>
      <c r="E87" t="s">
        <v>193</v>
      </c>
      <c r="G87">
        <v>83</v>
      </c>
      <c r="I87" t="s">
        <v>463</v>
      </c>
    </row>
    <row r="88" spans="1:9" ht="33" customHeight="1" x14ac:dyDescent="0.25">
      <c r="A88" t="s">
        <v>17</v>
      </c>
      <c r="B88" t="s">
        <v>194</v>
      </c>
      <c r="C88" t="s">
        <v>19</v>
      </c>
      <c r="D88" t="s">
        <v>195</v>
      </c>
      <c r="E88" t="s">
        <v>154</v>
      </c>
      <c r="G88">
        <v>90</v>
      </c>
    </row>
    <row r="89" spans="1:9" x14ac:dyDescent="0.25">
      <c r="E89" t="s">
        <v>368</v>
      </c>
      <c r="F89">
        <v>3</v>
      </c>
      <c r="I89" t="s">
        <v>464</v>
      </c>
    </row>
    <row r="90" spans="1:9" x14ac:dyDescent="0.25">
      <c r="A90" t="s">
        <v>17</v>
      </c>
      <c r="B90" t="s">
        <v>196</v>
      </c>
      <c r="C90" t="s">
        <v>19</v>
      </c>
      <c r="D90" t="s">
        <v>197</v>
      </c>
      <c r="E90" t="s">
        <v>198</v>
      </c>
      <c r="G90">
        <v>95</v>
      </c>
      <c r="I90" t="s">
        <v>465</v>
      </c>
    </row>
    <row r="91" spans="1:9" x14ac:dyDescent="0.25">
      <c r="A91" t="s">
        <v>17</v>
      </c>
      <c r="B91" t="s">
        <v>199</v>
      </c>
      <c r="C91" t="s">
        <v>19</v>
      </c>
      <c r="D91" t="s">
        <v>200</v>
      </c>
      <c r="E91" t="s">
        <v>126</v>
      </c>
      <c r="G91">
        <v>100</v>
      </c>
      <c r="I91" t="s">
        <v>466</v>
      </c>
    </row>
    <row r="92" spans="1:9" x14ac:dyDescent="0.25">
      <c r="A92" t="s">
        <v>17</v>
      </c>
      <c r="B92" t="s">
        <v>201</v>
      </c>
      <c r="C92" t="s">
        <v>19</v>
      </c>
      <c r="D92" t="s">
        <v>202</v>
      </c>
      <c r="E92" t="s">
        <v>168</v>
      </c>
      <c r="G92">
        <v>105</v>
      </c>
      <c r="I92" t="s">
        <v>467</v>
      </c>
    </row>
    <row r="93" spans="1:9" x14ac:dyDescent="0.25">
      <c r="A93" t="s">
        <v>17</v>
      </c>
      <c r="B93" t="s">
        <v>203</v>
      </c>
      <c r="C93" t="s">
        <v>19</v>
      </c>
      <c r="D93" t="s">
        <v>152</v>
      </c>
      <c r="E93" t="s">
        <v>180</v>
      </c>
      <c r="G93">
        <v>106</v>
      </c>
      <c r="I93" t="s">
        <v>468</v>
      </c>
    </row>
    <row r="94" spans="1:9" x14ac:dyDescent="0.25">
      <c r="A94" t="s">
        <v>17</v>
      </c>
      <c r="B94" t="s">
        <v>204</v>
      </c>
      <c r="C94" t="s">
        <v>19</v>
      </c>
      <c r="D94" t="s">
        <v>155</v>
      </c>
      <c r="E94" t="s">
        <v>205</v>
      </c>
      <c r="G94">
        <v>108</v>
      </c>
      <c r="I94" t="s">
        <v>469</v>
      </c>
    </row>
    <row r="95" spans="1:9" x14ac:dyDescent="0.25">
      <c r="A95" t="s">
        <v>17</v>
      </c>
      <c r="B95" t="s">
        <v>206</v>
      </c>
      <c r="C95" t="s">
        <v>19</v>
      </c>
      <c r="D95" t="s">
        <v>207</v>
      </c>
      <c r="E95" t="s">
        <v>183</v>
      </c>
      <c r="G95">
        <v>93</v>
      </c>
      <c r="I95" t="s">
        <v>470</v>
      </c>
    </row>
    <row r="96" spans="1:9" x14ac:dyDescent="0.25">
      <c r="A96" t="s">
        <v>17</v>
      </c>
      <c r="B96" t="s">
        <v>208</v>
      </c>
      <c r="C96" t="s">
        <v>19</v>
      </c>
      <c r="D96" t="s">
        <v>209</v>
      </c>
      <c r="E96" t="s">
        <v>186</v>
      </c>
      <c r="G96">
        <v>98</v>
      </c>
      <c r="I96" t="s">
        <v>471</v>
      </c>
    </row>
    <row r="97" spans="1:9" x14ac:dyDescent="0.25">
      <c r="A97" t="s">
        <v>17</v>
      </c>
      <c r="B97" t="s">
        <v>210</v>
      </c>
      <c r="C97" t="s">
        <v>19</v>
      </c>
      <c r="D97" t="s">
        <v>211</v>
      </c>
      <c r="E97" t="s">
        <v>189</v>
      </c>
      <c r="G97">
        <v>103</v>
      </c>
      <c r="I97" t="s">
        <v>472</v>
      </c>
    </row>
    <row r="98" spans="1:9" x14ac:dyDescent="0.25">
      <c r="A98" t="s">
        <v>17</v>
      </c>
      <c r="B98" t="s">
        <v>212</v>
      </c>
      <c r="C98" t="s">
        <v>19</v>
      </c>
      <c r="D98" t="s">
        <v>213</v>
      </c>
      <c r="E98" t="s">
        <v>171</v>
      </c>
      <c r="G98">
        <v>92</v>
      </c>
      <c r="I98" t="s">
        <v>473</v>
      </c>
    </row>
    <row r="99" spans="1:9" x14ac:dyDescent="0.25">
      <c r="A99" t="s">
        <v>17</v>
      </c>
      <c r="B99" t="s">
        <v>214</v>
      </c>
      <c r="C99" t="s">
        <v>19</v>
      </c>
      <c r="D99" t="s">
        <v>215</v>
      </c>
      <c r="E99" t="s">
        <v>174</v>
      </c>
      <c r="G99">
        <v>97</v>
      </c>
      <c r="I99" t="s">
        <v>474</v>
      </c>
    </row>
    <row r="100" spans="1:9" x14ac:dyDescent="0.25">
      <c r="A100" t="s">
        <v>17</v>
      </c>
      <c r="B100" t="s">
        <v>216</v>
      </c>
      <c r="C100" t="s">
        <v>19</v>
      </c>
      <c r="D100" t="s">
        <v>217</v>
      </c>
      <c r="E100" t="s">
        <v>177</v>
      </c>
      <c r="G100">
        <v>102</v>
      </c>
      <c r="I100" t="s">
        <v>475</v>
      </c>
    </row>
    <row r="101" spans="1:9" x14ac:dyDescent="0.25">
      <c r="A101" t="s">
        <v>17</v>
      </c>
      <c r="B101" t="s">
        <v>218</v>
      </c>
      <c r="C101" t="s">
        <v>19</v>
      </c>
      <c r="D101" t="s">
        <v>219</v>
      </c>
      <c r="E101" t="s">
        <v>160</v>
      </c>
      <c r="G101">
        <v>91</v>
      </c>
      <c r="I101" t="s">
        <v>476</v>
      </c>
    </row>
    <row r="102" spans="1:9" x14ac:dyDescent="0.25">
      <c r="A102" t="s">
        <v>17</v>
      </c>
      <c r="B102" t="s">
        <v>220</v>
      </c>
      <c r="C102" t="s">
        <v>19</v>
      </c>
      <c r="D102" t="s">
        <v>221</v>
      </c>
      <c r="E102" t="s">
        <v>162</v>
      </c>
      <c r="G102">
        <v>96</v>
      </c>
      <c r="I102" t="s">
        <v>477</v>
      </c>
    </row>
    <row r="103" spans="1:9" x14ac:dyDescent="0.25">
      <c r="A103" t="s">
        <v>17</v>
      </c>
      <c r="B103" t="s">
        <v>222</v>
      </c>
      <c r="C103" t="s">
        <v>19</v>
      </c>
      <c r="D103" t="s">
        <v>223</v>
      </c>
      <c r="E103" t="s">
        <v>165</v>
      </c>
      <c r="G103">
        <v>101</v>
      </c>
      <c r="I103" t="s">
        <v>478</v>
      </c>
    </row>
    <row r="104" spans="1:9" x14ac:dyDescent="0.25">
      <c r="A104" t="s">
        <v>17</v>
      </c>
      <c r="B104" t="s">
        <v>224</v>
      </c>
      <c r="C104" t="s">
        <v>19</v>
      </c>
      <c r="D104" t="s">
        <v>225</v>
      </c>
      <c r="E104" t="s">
        <v>192</v>
      </c>
      <c r="G104">
        <v>99</v>
      </c>
      <c r="I104" t="s">
        <v>479</v>
      </c>
    </row>
    <row r="105" spans="1:9" x14ac:dyDescent="0.25">
      <c r="A105" t="s">
        <v>17</v>
      </c>
      <c r="B105" t="s">
        <v>226</v>
      </c>
      <c r="C105" t="s">
        <v>19</v>
      </c>
      <c r="D105" t="s">
        <v>227</v>
      </c>
      <c r="E105" t="s">
        <v>195</v>
      </c>
      <c r="G105">
        <v>104</v>
      </c>
      <c r="I105" t="s">
        <v>480</v>
      </c>
    </row>
    <row r="106" spans="1:9" x14ac:dyDescent="0.25">
      <c r="A106" t="s">
        <v>17</v>
      </c>
      <c r="B106" t="s">
        <v>228</v>
      </c>
      <c r="C106" t="s">
        <v>19</v>
      </c>
      <c r="D106" t="s">
        <v>229</v>
      </c>
      <c r="E106" t="s">
        <v>202</v>
      </c>
      <c r="G106">
        <v>45</v>
      </c>
    </row>
    <row r="107" spans="1:9" x14ac:dyDescent="0.25">
      <c r="A107" t="s">
        <v>17</v>
      </c>
      <c r="B107" t="s">
        <v>230</v>
      </c>
      <c r="C107" t="s">
        <v>19</v>
      </c>
      <c r="D107" t="s">
        <v>231</v>
      </c>
      <c r="E107" t="s">
        <v>232</v>
      </c>
      <c r="G107">
        <v>129</v>
      </c>
      <c r="I107" t="s">
        <v>481</v>
      </c>
    </row>
    <row r="108" spans="1:9" x14ac:dyDescent="0.25">
      <c r="A108" t="s">
        <v>17</v>
      </c>
      <c r="B108" t="s">
        <v>233</v>
      </c>
      <c r="C108" t="s">
        <v>19</v>
      </c>
      <c r="D108" t="s">
        <v>234</v>
      </c>
      <c r="E108" t="s">
        <v>10</v>
      </c>
    </row>
    <row r="109" spans="1:9" x14ac:dyDescent="0.25">
      <c r="A109" t="s">
        <v>17</v>
      </c>
      <c r="B109" t="s">
        <v>235</v>
      </c>
      <c r="C109" t="s">
        <v>19</v>
      </c>
      <c r="D109" t="s">
        <v>236</v>
      </c>
      <c r="E109" t="s">
        <v>207</v>
      </c>
    </row>
    <row r="110" spans="1:9" x14ac:dyDescent="0.25">
      <c r="A110" t="s">
        <v>17</v>
      </c>
      <c r="B110" t="s">
        <v>237</v>
      </c>
      <c r="C110" t="s">
        <v>19</v>
      </c>
      <c r="D110" t="s">
        <v>238</v>
      </c>
      <c r="E110" t="s">
        <v>229</v>
      </c>
    </row>
    <row r="111" spans="1:9" x14ac:dyDescent="0.25">
      <c r="A111" t="s">
        <v>17</v>
      </c>
      <c r="B111" t="s">
        <v>239</v>
      </c>
      <c r="C111" t="s">
        <v>19</v>
      </c>
      <c r="D111" t="s">
        <v>240</v>
      </c>
      <c r="E111" t="s">
        <v>231</v>
      </c>
    </row>
    <row r="112" spans="1:9" x14ac:dyDescent="0.25">
      <c r="A112" t="s">
        <v>17</v>
      </c>
      <c r="B112" t="s">
        <v>241</v>
      </c>
      <c r="C112" t="s">
        <v>19</v>
      </c>
      <c r="D112" t="s">
        <v>242</v>
      </c>
      <c r="E112" t="s">
        <v>234</v>
      </c>
    </row>
    <row r="113" spans="1:8" x14ac:dyDescent="0.25">
      <c r="A113" t="s">
        <v>17</v>
      </c>
      <c r="B113" t="s">
        <v>243</v>
      </c>
      <c r="C113" t="s">
        <v>19</v>
      </c>
      <c r="D113" t="s">
        <v>244</v>
      </c>
      <c r="E113" t="s">
        <v>236</v>
      </c>
    </row>
    <row r="114" spans="1:8" x14ac:dyDescent="0.25">
      <c r="A114" t="s">
        <v>17</v>
      </c>
      <c r="B114" t="s">
        <v>245</v>
      </c>
      <c r="C114" t="s">
        <v>19</v>
      </c>
      <c r="D114" t="s">
        <v>246</v>
      </c>
      <c r="E114" t="s">
        <v>238</v>
      </c>
    </row>
    <row r="115" spans="1:8" x14ac:dyDescent="0.25">
      <c r="A115" t="s">
        <v>17</v>
      </c>
      <c r="B115" t="s">
        <v>247</v>
      </c>
      <c r="C115" t="s">
        <v>19</v>
      </c>
      <c r="D115" t="s">
        <v>248</v>
      </c>
      <c r="E115" t="s">
        <v>240</v>
      </c>
    </row>
    <row r="116" spans="1:8" x14ac:dyDescent="0.25">
      <c r="A116" t="s">
        <v>17</v>
      </c>
      <c r="B116" t="s">
        <v>249</v>
      </c>
      <c r="C116" t="s">
        <v>19</v>
      </c>
      <c r="D116" t="s">
        <v>250</v>
      </c>
      <c r="E116" t="s">
        <v>242</v>
      </c>
    </row>
    <row r="117" spans="1:8" x14ac:dyDescent="0.25">
      <c r="A117" t="s">
        <v>17</v>
      </c>
      <c r="B117" t="s">
        <v>251</v>
      </c>
      <c r="C117" t="s">
        <v>19</v>
      </c>
      <c r="D117" t="s">
        <v>252</v>
      </c>
      <c r="E117" t="s">
        <v>244</v>
      </c>
    </row>
    <row r="118" spans="1:8" x14ac:dyDescent="0.25">
      <c r="A118" t="s">
        <v>17</v>
      </c>
      <c r="B118" t="s">
        <v>253</v>
      </c>
      <c r="C118" t="s">
        <v>19</v>
      </c>
      <c r="D118" t="s">
        <v>254</v>
      </c>
      <c r="E118" t="s">
        <v>246</v>
      </c>
    </row>
    <row r="119" spans="1:8" x14ac:dyDescent="0.25">
      <c r="A119" t="s">
        <v>17</v>
      </c>
      <c r="B119" t="s">
        <v>255</v>
      </c>
      <c r="C119" t="s">
        <v>19</v>
      </c>
      <c r="D119" t="s">
        <v>256</v>
      </c>
      <c r="E119" t="s">
        <v>248</v>
      </c>
    </row>
    <row r="120" spans="1:8" x14ac:dyDescent="0.25">
      <c r="A120" t="s">
        <v>17</v>
      </c>
      <c r="B120" t="s">
        <v>257</v>
      </c>
      <c r="C120" t="s">
        <v>19</v>
      </c>
      <c r="D120" t="s">
        <v>258</v>
      </c>
      <c r="E120" t="s">
        <v>250</v>
      </c>
    </row>
    <row r="121" spans="1:8" x14ac:dyDescent="0.25">
      <c r="A121" t="s">
        <v>17</v>
      </c>
      <c r="B121" t="s">
        <v>259</v>
      </c>
      <c r="C121" t="s">
        <v>19</v>
      </c>
      <c r="D121" t="s">
        <v>260</v>
      </c>
      <c r="E121" t="s">
        <v>261</v>
      </c>
    </row>
    <row r="122" spans="1:8" x14ac:dyDescent="0.25">
      <c r="A122" t="s">
        <v>17</v>
      </c>
      <c r="B122" t="s">
        <v>262</v>
      </c>
      <c r="C122" t="s">
        <v>19</v>
      </c>
      <c r="D122" t="s">
        <v>263</v>
      </c>
      <c r="E122" t="s">
        <v>264</v>
      </c>
      <c r="G122">
        <v>107</v>
      </c>
      <c r="H122">
        <v>4</v>
      </c>
    </row>
    <row r="123" spans="1:8" x14ac:dyDescent="0.25">
      <c r="A123" t="s">
        <v>17</v>
      </c>
      <c r="B123" t="s">
        <v>265</v>
      </c>
      <c r="C123" t="s">
        <v>19</v>
      </c>
      <c r="D123" t="s">
        <v>266</v>
      </c>
      <c r="E123" t="s">
        <v>260</v>
      </c>
      <c r="G123">
        <v>56</v>
      </c>
      <c r="H123" t="s">
        <v>369</v>
      </c>
    </row>
    <row r="124" spans="1:8" x14ac:dyDescent="0.25">
      <c r="A124" t="s">
        <v>17</v>
      </c>
      <c r="B124" t="s">
        <v>267</v>
      </c>
      <c r="C124" t="s">
        <v>19</v>
      </c>
      <c r="D124" t="s">
        <v>268</v>
      </c>
      <c r="E124" t="s">
        <v>254</v>
      </c>
      <c r="G124">
        <v>133</v>
      </c>
      <c r="H124">
        <v>5</v>
      </c>
    </row>
    <row r="125" spans="1:8" x14ac:dyDescent="0.25">
      <c r="A125" t="s">
        <v>17</v>
      </c>
      <c r="B125" t="s">
        <v>269</v>
      </c>
      <c r="C125" t="s">
        <v>19</v>
      </c>
      <c r="D125" t="s">
        <v>270</v>
      </c>
      <c r="E125" t="s">
        <v>271</v>
      </c>
      <c r="G125">
        <v>14</v>
      </c>
      <c r="H125">
        <v>5</v>
      </c>
    </row>
    <row r="126" spans="1:8" x14ac:dyDescent="0.25">
      <c r="A126" t="s">
        <v>17</v>
      </c>
      <c r="B126" t="s">
        <v>272</v>
      </c>
      <c r="C126" t="s">
        <v>19</v>
      </c>
      <c r="D126" t="s">
        <v>273</v>
      </c>
      <c r="E126" t="s">
        <v>274</v>
      </c>
      <c r="G126">
        <v>132</v>
      </c>
      <c r="H126">
        <v>5</v>
      </c>
    </row>
    <row r="127" spans="1:8" x14ac:dyDescent="0.25">
      <c r="A127" t="s">
        <v>17</v>
      </c>
      <c r="B127" t="s">
        <v>275</v>
      </c>
      <c r="C127" t="s">
        <v>19</v>
      </c>
      <c r="D127" t="s">
        <v>276</v>
      </c>
      <c r="E127" t="s">
        <v>277</v>
      </c>
      <c r="G127">
        <v>131</v>
      </c>
      <c r="H127">
        <v>5</v>
      </c>
    </row>
    <row r="128" spans="1:8" x14ac:dyDescent="0.25">
      <c r="A128" t="s">
        <v>17</v>
      </c>
      <c r="B128" t="s">
        <v>278</v>
      </c>
      <c r="C128" t="s">
        <v>19</v>
      </c>
      <c r="D128" t="s">
        <v>279</v>
      </c>
      <c r="E128" t="s">
        <v>213</v>
      </c>
    </row>
    <row r="129" spans="1:9" x14ac:dyDescent="0.25">
      <c r="A129" t="s">
        <v>17</v>
      </c>
      <c r="B129" t="s">
        <v>280</v>
      </c>
      <c r="C129" t="s">
        <v>19</v>
      </c>
      <c r="D129" t="s">
        <v>281</v>
      </c>
      <c r="E129" t="s">
        <v>258</v>
      </c>
      <c r="F129">
        <v>6</v>
      </c>
    </row>
    <row r="130" spans="1:9" x14ac:dyDescent="0.25">
      <c r="E130" t="s">
        <v>371</v>
      </c>
      <c r="F130" t="s">
        <v>370</v>
      </c>
    </row>
    <row r="131" spans="1:9" x14ac:dyDescent="0.25">
      <c r="A131" t="s">
        <v>17</v>
      </c>
      <c r="B131" t="s">
        <v>282</v>
      </c>
      <c r="C131" t="s">
        <v>19</v>
      </c>
      <c r="D131" t="s">
        <v>283</v>
      </c>
      <c r="E131" t="s">
        <v>256</v>
      </c>
      <c r="F131">
        <v>6</v>
      </c>
    </row>
    <row r="132" spans="1:9" x14ac:dyDescent="0.25">
      <c r="E132" t="s">
        <v>372</v>
      </c>
      <c r="F132" t="s">
        <v>370</v>
      </c>
    </row>
    <row r="133" spans="1:9" x14ac:dyDescent="0.25">
      <c r="A133" t="s">
        <v>17</v>
      </c>
      <c r="B133" t="s">
        <v>284</v>
      </c>
      <c r="C133" t="s">
        <v>19</v>
      </c>
      <c r="D133" t="s">
        <v>285</v>
      </c>
      <c r="E133" t="s">
        <v>286</v>
      </c>
    </row>
    <row r="134" spans="1:9" x14ac:dyDescent="0.25">
      <c r="A134" t="s">
        <v>17</v>
      </c>
      <c r="B134" t="s">
        <v>287</v>
      </c>
      <c r="C134" t="s">
        <v>19</v>
      </c>
      <c r="D134" t="s">
        <v>288</v>
      </c>
      <c r="E134" t="s">
        <v>289</v>
      </c>
    </row>
    <row r="135" spans="1:9" x14ac:dyDescent="0.25">
      <c r="A135" t="s">
        <v>17</v>
      </c>
      <c r="B135" t="s">
        <v>290</v>
      </c>
      <c r="C135" t="s">
        <v>19</v>
      </c>
      <c r="D135" t="s">
        <v>291</v>
      </c>
      <c r="E135" t="s">
        <v>261</v>
      </c>
    </row>
    <row r="136" spans="1:9" x14ac:dyDescent="0.25">
      <c r="A136" t="s">
        <v>17</v>
      </c>
      <c r="B136" t="s">
        <v>292</v>
      </c>
      <c r="C136" t="s">
        <v>19</v>
      </c>
      <c r="D136" t="s">
        <v>293</v>
      </c>
      <c r="E136" t="s">
        <v>86</v>
      </c>
      <c r="G136">
        <v>58</v>
      </c>
      <c r="I136" t="s">
        <v>482</v>
      </c>
    </row>
    <row r="137" spans="1:9" x14ac:dyDescent="0.25">
      <c r="A137" t="s">
        <v>17</v>
      </c>
      <c r="B137" t="s">
        <v>294</v>
      </c>
      <c r="C137" t="s">
        <v>19</v>
      </c>
      <c r="D137" t="s">
        <v>295</v>
      </c>
      <c r="E137" t="s">
        <v>106</v>
      </c>
      <c r="G137">
        <v>44</v>
      </c>
      <c r="I137" t="s">
        <v>483</v>
      </c>
    </row>
    <row r="138" spans="1:9" x14ac:dyDescent="0.25">
      <c r="A138" t="s">
        <v>17</v>
      </c>
      <c r="B138" t="s">
        <v>296</v>
      </c>
      <c r="C138" t="s">
        <v>19</v>
      </c>
      <c r="D138" t="s">
        <v>297</v>
      </c>
      <c r="E138" t="s">
        <v>128</v>
      </c>
      <c r="G138">
        <v>60</v>
      </c>
      <c r="I138" t="s">
        <v>484</v>
      </c>
    </row>
    <row r="139" spans="1:9" x14ac:dyDescent="0.25">
      <c r="A139" t="s">
        <v>17</v>
      </c>
      <c r="B139" t="s">
        <v>298</v>
      </c>
      <c r="C139" t="s">
        <v>19</v>
      </c>
      <c r="D139" t="s">
        <v>299</v>
      </c>
      <c r="E139" t="s">
        <v>300</v>
      </c>
      <c r="G139">
        <v>127</v>
      </c>
      <c r="I139" t="s">
        <v>485</v>
      </c>
    </row>
    <row r="140" spans="1:9" x14ac:dyDescent="0.25">
      <c r="A140" t="s">
        <v>17</v>
      </c>
      <c r="B140" t="s">
        <v>301</v>
      </c>
      <c r="C140" t="s">
        <v>19</v>
      </c>
      <c r="D140" t="s">
        <v>302</v>
      </c>
      <c r="E140" t="s">
        <v>303</v>
      </c>
      <c r="G140">
        <v>64</v>
      </c>
      <c r="I140" t="s">
        <v>486</v>
      </c>
    </row>
    <row r="141" spans="1:9" x14ac:dyDescent="0.25">
      <c r="A141" t="s">
        <v>17</v>
      </c>
      <c r="B141" t="s">
        <v>304</v>
      </c>
      <c r="C141" t="s">
        <v>19</v>
      </c>
      <c r="D141" t="s">
        <v>305</v>
      </c>
      <c r="E141" t="s">
        <v>124</v>
      </c>
      <c r="G141">
        <v>57</v>
      </c>
      <c r="I141" t="s">
        <v>487</v>
      </c>
    </row>
    <row r="142" spans="1:9" x14ac:dyDescent="0.25">
      <c r="A142" t="s">
        <v>17</v>
      </c>
      <c r="B142" t="s">
        <v>306</v>
      </c>
      <c r="C142" t="s">
        <v>19</v>
      </c>
      <c r="D142" t="s">
        <v>307</v>
      </c>
      <c r="E142" t="s">
        <v>308</v>
      </c>
      <c r="G142">
        <v>62</v>
      </c>
      <c r="I142" t="s">
        <v>488</v>
      </c>
    </row>
    <row r="143" spans="1:9" x14ac:dyDescent="0.25">
      <c r="A143" t="s">
        <v>17</v>
      </c>
      <c r="B143" t="s">
        <v>309</v>
      </c>
      <c r="C143" t="s">
        <v>19</v>
      </c>
      <c r="D143" t="s">
        <v>310</v>
      </c>
      <c r="E143" t="s">
        <v>311</v>
      </c>
      <c r="G143">
        <v>128</v>
      </c>
      <c r="I143" t="s">
        <v>489</v>
      </c>
    </row>
    <row r="144" spans="1:9" x14ac:dyDescent="0.25">
      <c r="A144" t="s">
        <v>312</v>
      </c>
      <c r="B144" t="s">
        <v>313</v>
      </c>
      <c r="C144" t="s">
        <v>45</v>
      </c>
      <c r="D144" t="s">
        <v>314</v>
      </c>
      <c r="E144" t="s">
        <v>315</v>
      </c>
    </row>
    <row r="145" spans="1:5" x14ac:dyDescent="0.25">
      <c r="A145" t="s">
        <v>312</v>
      </c>
      <c r="B145" t="s">
        <v>316</v>
      </c>
      <c r="C145" t="s">
        <v>45</v>
      </c>
      <c r="D145" t="s">
        <v>317</v>
      </c>
      <c r="E145" t="s">
        <v>318</v>
      </c>
    </row>
    <row r="146" spans="1:5" x14ac:dyDescent="0.25">
      <c r="A146" t="s">
        <v>312</v>
      </c>
      <c r="B146" t="s">
        <v>319</v>
      </c>
      <c r="C146" t="s">
        <v>45</v>
      </c>
      <c r="D146" t="s">
        <v>320</v>
      </c>
      <c r="E146" t="s">
        <v>321</v>
      </c>
    </row>
    <row r="147" spans="1:5" x14ac:dyDescent="0.25">
      <c r="A147" t="s">
        <v>312</v>
      </c>
      <c r="B147" t="s">
        <v>322</v>
      </c>
      <c r="C147" t="s">
        <v>45</v>
      </c>
      <c r="D147" t="s">
        <v>323</v>
      </c>
      <c r="E147" t="s">
        <v>324</v>
      </c>
    </row>
    <row r="148" spans="1:5" x14ac:dyDescent="0.25">
      <c r="A148" t="s">
        <v>312</v>
      </c>
      <c r="B148" t="s">
        <v>325</v>
      </c>
      <c r="C148" t="s">
        <v>45</v>
      </c>
      <c r="D148" t="s">
        <v>297</v>
      </c>
      <c r="E148" t="s">
        <v>326</v>
      </c>
    </row>
    <row r="149" spans="1:5" x14ac:dyDescent="0.25">
      <c r="A149" t="s">
        <v>312</v>
      </c>
      <c r="B149" t="s">
        <v>327</v>
      </c>
      <c r="C149" t="s">
        <v>45</v>
      </c>
      <c r="D149" t="s">
        <v>328</v>
      </c>
      <c r="E149" t="s">
        <v>329</v>
      </c>
    </row>
    <row r="150" spans="1:5" x14ac:dyDescent="0.25">
      <c r="A150" t="s">
        <v>312</v>
      </c>
      <c r="B150" t="s">
        <v>330</v>
      </c>
      <c r="C150" t="s">
        <v>45</v>
      </c>
      <c r="D150" t="s">
        <v>331</v>
      </c>
      <c r="E150" t="s">
        <v>332</v>
      </c>
    </row>
    <row r="151" spans="1:5" x14ac:dyDescent="0.25">
      <c r="A151" t="s">
        <v>312</v>
      </c>
      <c r="B151" t="s">
        <v>333</v>
      </c>
      <c r="C151" t="s">
        <v>45</v>
      </c>
      <c r="D151" t="s">
        <v>334</v>
      </c>
      <c r="E151" t="s">
        <v>335</v>
      </c>
    </row>
    <row r="152" spans="1:5" x14ac:dyDescent="0.25">
      <c r="A152" t="s">
        <v>312</v>
      </c>
      <c r="B152" t="s">
        <v>336</v>
      </c>
      <c r="C152" t="s">
        <v>45</v>
      </c>
      <c r="D152" t="s">
        <v>337</v>
      </c>
      <c r="E152" t="s">
        <v>338</v>
      </c>
    </row>
    <row r="153" spans="1:5" x14ac:dyDescent="0.25">
      <c r="A153" t="s">
        <v>312</v>
      </c>
      <c r="B153" t="s">
        <v>339</v>
      </c>
      <c r="C153" t="s">
        <v>45</v>
      </c>
      <c r="D153" t="s">
        <v>340</v>
      </c>
      <c r="E153" t="s">
        <v>341</v>
      </c>
    </row>
    <row r="154" spans="1:5" x14ac:dyDescent="0.25">
      <c r="A154" t="s">
        <v>312</v>
      </c>
      <c r="B154" t="s">
        <v>342</v>
      </c>
      <c r="C154" t="s">
        <v>45</v>
      </c>
      <c r="D154" t="s">
        <v>343</v>
      </c>
      <c r="E154" t="s">
        <v>344</v>
      </c>
    </row>
    <row r="155" spans="1:5" x14ac:dyDescent="0.25">
      <c r="A155" t="s">
        <v>312</v>
      </c>
      <c r="B155" t="s">
        <v>345</v>
      </c>
      <c r="C155" t="s">
        <v>45</v>
      </c>
      <c r="D155" t="s">
        <v>346</v>
      </c>
      <c r="E155" t="s">
        <v>347</v>
      </c>
    </row>
    <row r="156" spans="1:5" x14ac:dyDescent="0.25">
      <c r="A156" t="s">
        <v>312</v>
      </c>
      <c r="B156" t="s">
        <v>348</v>
      </c>
      <c r="C156" t="s">
        <v>45</v>
      </c>
      <c r="D156" t="s">
        <v>349</v>
      </c>
      <c r="E156" t="s">
        <v>350</v>
      </c>
    </row>
    <row r="157" spans="1:5" x14ac:dyDescent="0.25">
      <c r="A157" t="s">
        <v>312</v>
      </c>
      <c r="B157" t="s">
        <v>351</v>
      </c>
      <c r="C157" t="s">
        <v>45</v>
      </c>
      <c r="D157" t="s">
        <v>352</v>
      </c>
      <c r="E157" t="s">
        <v>353</v>
      </c>
    </row>
    <row r="158" spans="1:5" x14ac:dyDescent="0.25">
      <c r="A158" t="s">
        <v>312</v>
      </c>
      <c r="B158" t="s">
        <v>354</v>
      </c>
      <c r="C158" t="s">
        <v>45</v>
      </c>
      <c r="D158" t="s">
        <v>355</v>
      </c>
      <c r="E158" t="s">
        <v>356</v>
      </c>
    </row>
    <row r="159" spans="1:5" x14ac:dyDescent="0.25">
      <c r="A159" t="s">
        <v>312</v>
      </c>
      <c r="B159" t="s">
        <v>357</v>
      </c>
      <c r="C159" t="s">
        <v>45</v>
      </c>
      <c r="D159" t="s">
        <v>358</v>
      </c>
      <c r="E159" t="s">
        <v>359</v>
      </c>
    </row>
    <row r="160" spans="1:5" x14ac:dyDescent="0.25">
      <c r="A160" t="s">
        <v>312</v>
      </c>
      <c r="B160" t="s">
        <v>360</v>
      </c>
      <c r="C160" t="s">
        <v>45</v>
      </c>
      <c r="D160" t="s">
        <v>361</v>
      </c>
      <c r="E160" t="s">
        <v>362</v>
      </c>
    </row>
    <row r="161" spans="1:5" x14ac:dyDescent="0.25">
      <c r="A161" t="s">
        <v>312</v>
      </c>
      <c r="B161" t="s">
        <v>363</v>
      </c>
      <c r="C161" t="s">
        <v>45</v>
      </c>
      <c r="D161" t="s">
        <v>364</v>
      </c>
      <c r="E161" t="s">
        <v>365</v>
      </c>
    </row>
  </sheetData>
  <autoFilter ref="A1:H161" xr:uid="{D69EEDE8-AF3A-421F-92F4-A8A1FF73ABB1}"/>
  <conditionalFormatting sqref="E1:E1048576">
    <cfRule type="duplicateValues" dxfId="1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2421-B45D-481A-8C6F-1486E3D3C188}">
  <dimension ref="A1:K183"/>
  <sheetViews>
    <sheetView topLeftCell="A78" workbookViewId="0">
      <selection activeCell="G100" sqref="G100"/>
    </sheetView>
  </sheetViews>
  <sheetFormatPr defaultRowHeight="15" x14ac:dyDescent="0.25"/>
  <cols>
    <col min="1" max="1" width="46.42578125" bestFit="1" customWidth="1"/>
    <col min="2" max="2" width="16.42578125" bestFit="1" customWidth="1"/>
    <col min="6" max="6" width="23.7109375" bestFit="1" customWidth="1"/>
  </cols>
  <sheetData>
    <row r="1" spans="1:7" x14ac:dyDescent="0.25">
      <c r="A1" s="1" t="s">
        <v>1</v>
      </c>
      <c r="B1" s="1" t="s">
        <v>4</v>
      </c>
      <c r="C1" t="s">
        <v>383</v>
      </c>
    </row>
    <row r="2" spans="1:7" x14ac:dyDescent="0.25">
      <c r="A2" t="s">
        <v>103</v>
      </c>
      <c r="B2" t="s">
        <v>8</v>
      </c>
      <c r="C2">
        <v>38</v>
      </c>
      <c r="D2">
        <f t="shared" ref="D2:D33" si="0">HEX2DEC(MID(B2, 3, 100))</f>
        <v>1</v>
      </c>
      <c r="F2" t="s">
        <v>421</v>
      </c>
      <c r="G2" t="str" cm="1">
        <f t="array" ref="G2">"/* " &amp; F2 &amp; REPT(" ", MAX(LEN($F$2:$F$183)) - LEN(F2)) &amp; " */  " &amp; C2 &amp; ","</f>
        <v>/* KEY_ESCAPE          */  38,</v>
      </c>
    </row>
    <row r="3" spans="1:7" x14ac:dyDescent="0.25">
      <c r="A3" t="s">
        <v>88</v>
      </c>
      <c r="B3" t="s">
        <v>89</v>
      </c>
      <c r="C3">
        <v>27</v>
      </c>
      <c r="D3">
        <f t="shared" si="0"/>
        <v>2</v>
      </c>
      <c r="E3">
        <f t="shared" ref="E3:E34" si="1">D3 - D2</f>
        <v>1</v>
      </c>
      <c r="F3" t="s">
        <v>410</v>
      </c>
      <c r="G3" t="str" cm="1">
        <f t="array" ref="G3">"/* " &amp; F3 &amp; REPT(" ", MAX(LEN($F$2:$F$183)) - LEN(F3)) &amp; " */  " &amp; C3 &amp; ","</f>
        <v>/* KEY_1               */  27,</v>
      </c>
    </row>
    <row r="4" spans="1:7" x14ac:dyDescent="0.25">
      <c r="A4" t="s">
        <v>90</v>
      </c>
      <c r="B4" t="s">
        <v>91</v>
      </c>
      <c r="C4">
        <v>28</v>
      </c>
      <c r="D4">
        <f t="shared" si="0"/>
        <v>3</v>
      </c>
      <c r="E4">
        <f t="shared" si="1"/>
        <v>1</v>
      </c>
      <c r="F4" t="s">
        <v>411</v>
      </c>
      <c r="G4" t="str" cm="1">
        <f t="array" ref="G4">"/* " &amp; F4 &amp; REPT(" ", MAX(LEN($F$2:$F$183)) - LEN(F4)) &amp; " */  " &amp; C4 &amp; ","</f>
        <v>/* KEY_2               */  28,</v>
      </c>
    </row>
    <row r="5" spans="1:7" x14ac:dyDescent="0.25">
      <c r="A5" t="s">
        <v>92</v>
      </c>
      <c r="B5" t="s">
        <v>22</v>
      </c>
      <c r="C5">
        <v>29</v>
      </c>
      <c r="D5">
        <f t="shared" si="0"/>
        <v>4</v>
      </c>
      <c r="E5">
        <f t="shared" si="1"/>
        <v>1</v>
      </c>
      <c r="F5" t="s">
        <v>412</v>
      </c>
      <c r="G5" t="str" cm="1">
        <f t="array" ref="G5">"/* " &amp; F5 &amp; REPT(" ", MAX(LEN($F$2:$F$183)) - LEN(F5)) &amp; " */  " &amp; C5 &amp; ","</f>
        <v>/* KEY_3               */  29,</v>
      </c>
    </row>
    <row r="6" spans="1:7" x14ac:dyDescent="0.25">
      <c r="A6" t="s">
        <v>93</v>
      </c>
      <c r="B6" t="s">
        <v>25</v>
      </c>
      <c r="C6">
        <v>30</v>
      </c>
      <c r="D6">
        <f t="shared" si="0"/>
        <v>5</v>
      </c>
      <c r="E6">
        <f t="shared" si="1"/>
        <v>1</v>
      </c>
      <c r="F6" t="s">
        <v>413</v>
      </c>
      <c r="G6" t="str" cm="1">
        <f t="array" ref="G6">"/* " &amp; F6 &amp; REPT(" ", MAX(LEN($F$2:$F$183)) - LEN(F6)) &amp; " */  " &amp; C6 &amp; ","</f>
        <v>/* KEY_4               */  30,</v>
      </c>
    </row>
    <row r="7" spans="1:7" x14ac:dyDescent="0.25">
      <c r="A7" t="s">
        <v>94</v>
      </c>
      <c r="B7" t="s">
        <v>28</v>
      </c>
      <c r="C7">
        <v>31</v>
      </c>
      <c r="D7">
        <f t="shared" si="0"/>
        <v>6</v>
      </c>
      <c r="E7">
        <f t="shared" si="1"/>
        <v>1</v>
      </c>
      <c r="F7" t="s">
        <v>414</v>
      </c>
      <c r="G7" t="str" cm="1">
        <f t="array" ref="G7">"/* " &amp; F7 &amp; REPT(" ", MAX(LEN($F$2:$F$183)) - LEN(F7)) &amp; " */  " &amp; C7 &amp; ","</f>
        <v>/* KEY_5               */  31,</v>
      </c>
    </row>
    <row r="8" spans="1:7" x14ac:dyDescent="0.25">
      <c r="A8" t="s">
        <v>95</v>
      </c>
      <c r="B8" t="s">
        <v>19</v>
      </c>
      <c r="C8">
        <v>32</v>
      </c>
      <c r="D8">
        <f t="shared" si="0"/>
        <v>7</v>
      </c>
      <c r="E8">
        <f t="shared" si="1"/>
        <v>1</v>
      </c>
      <c r="F8" t="s">
        <v>415</v>
      </c>
      <c r="G8" t="str" cm="1">
        <f t="array" ref="G8">"/* " &amp; F8 &amp; REPT(" ", MAX(LEN($F$2:$F$183)) - LEN(F8)) &amp; " */  " &amp; C8 &amp; ","</f>
        <v>/* KEY_6               */  32,</v>
      </c>
    </row>
    <row r="9" spans="1:7" x14ac:dyDescent="0.25">
      <c r="A9" t="s">
        <v>96</v>
      </c>
      <c r="B9" t="s">
        <v>33</v>
      </c>
      <c r="C9">
        <v>33</v>
      </c>
      <c r="D9">
        <f t="shared" si="0"/>
        <v>8</v>
      </c>
      <c r="E9">
        <f t="shared" si="1"/>
        <v>1</v>
      </c>
      <c r="F9" t="s">
        <v>416</v>
      </c>
      <c r="G9" t="str" cm="1">
        <f t="array" ref="G9">"/* " &amp; F9 &amp; REPT(" ", MAX(LEN($F$2:$F$183)) - LEN(F9)) &amp; " */  " &amp; C9 &amp; ","</f>
        <v>/* KEY_7               */  33,</v>
      </c>
    </row>
    <row r="10" spans="1:7" x14ac:dyDescent="0.25">
      <c r="A10" t="s">
        <v>97</v>
      </c>
      <c r="B10" t="s">
        <v>36</v>
      </c>
      <c r="C10">
        <v>34</v>
      </c>
      <c r="D10">
        <f t="shared" si="0"/>
        <v>9</v>
      </c>
      <c r="E10">
        <f t="shared" si="1"/>
        <v>1</v>
      </c>
      <c r="F10" t="s">
        <v>417</v>
      </c>
      <c r="G10" t="str" cm="1">
        <f t="array" ref="G10">"/* " &amp; F10 &amp; REPT(" ", MAX(LEN($F$2:$F$183)) - LEN(F10)) &amp; " */  " &amp; C10 &amp; ","</f>
        <v>/* KEY_8               */  34,</v>
      </c>
    </row>
    <row r="11" spans="1:7" x14ac:dyDescent="0.25">
      <c r="A11" t="s">
        <v>98</v>
      </c>
      <c r="B11" t="s">
        <v>39</v>
      </c>
      <c r="C11">
        <v>35</v>
      </c>
      <c r="D11">
        <f t="shared" si="0"/>
        <v>10</v>
      </c>
      <c r="E11">
        <f t="shared" si="1"/>
        <v>1</v>
      </c>
      <c r="F11" t="s">
        <v>418</v>
      </c>
      <c r="G11" t="str" cm="1">
        <f t="array" ref="G11">"/* " &amp; F11 &amp; REPT(" ", MAX(LEN($F$2:$F$183)) - LEN(F11)) &amp; " */  " &amp; C11 &amp; ","</f>
        <v>/* KEY_9               */  35,</v>
      </c>
    </row>
    <row r="12" spans="1:7" x14ac:dyDescent="0.25">
      <c r="A12" t="s">
        <v>99</v>
      </c>
      <c r="B12" t="s">
        <v>42</v>
      </c>
      <c r="C12">
        <v>36</v>
      </c>
      <c r="D12">
        <f t="shared" si="0"/>
        <v>11</v>
      </c>
      <c r="E12">
        <f t="shared" si="1"/>
        <v>1</v>
      </c>
      <c r="F12" t="s">
        <v>419</v>
      </c>
      <c r="G12" t="str" cm="1">
        <f t="array" ref="G12">"/* " &amp; F12 &amp; REPT(" ", MAX(LEN($F$2:$F$183)) - LEN(F12)) &amp; " */  " &amp; C12 &amp; ","</f>
        <v>/* KEY_0               */  36,</v>
      </c>
    </row>
    <row r="13" spans="1:7" x14ac:dyDescent="0.25">
      <c r="A13" t="s">
        <v>111</v>
      </c>
      <c r="B13" t="s">
        <v>45</v>
      </c>
      <c r="C13">
        <v>42</v>
      </c>
      <c r="D13">
        <f t="shared" si="0"/>
        <v>12</v>
      </c>
      <c r="E13">
        <f t="shared" si="1"/>
        <v>1</v>
      </c>
      <c r="F13" t="s">
        <v>425</v>
      </c>
      <c r="G13" t="str" cm="1">
        <f t="array" ref="G13">"/* " &amp; F13 &amp; REPT(" ", MAX(LEN($F$2:$F$183)) - LEN(F13)) &amp; " */  " &amp; C13 &amp; ","</f>
        <v>/* KEY_DASH            */  42,</v>
      </c>
    </row>
    <row r="14" spans="1:7" x14ac:dyDescent="0.25">
      <c r="A14" t="s">
        <v>112</v>
      </c>
      <c r="B14" t="s">
        <v>48</v>
      </c>
      <c r="C14">
        <v>43</v>
      </c>
      <c r="D14">
        <f t="shared" si="0"/>
        <v>13</v>
      </c>
      <c r="E14">
        <f t="shared" si="1"/>
        <v>1</v>
      </c>
      <c r="F14" t="s">
        <v>426</v>
      </c>
      <c r="G14" t="str" cm="1">
        <f t="array" ref="G14">"/* " &amp; F14 &amp; REPT(" ", MAX(LEN($F$2:$F$183)) - LEN(F14)) &amp; " */  " &amp; C14 &amp; ","</f>
        <v>/* KEY_EQUALS          */  43,</v>
      </c>
    </row>
    <row r="15" spans="1:7" x14ac:dyDescent="0.25">
      <c r="A15" t="s">
        <v>105</v>
      </c>
      <c r="B15" t="s">
        <v>51</v>
      </c>
      <c r="C15">
        <v>39</v>
      </c>
      <c r="D15">
        <f t="shared" si="0"/>
        <v>14</v>
      </c>
      <c r="E15">
        <f t="shared" si="1"/>
        <v>1</v>
      </c>
      <c r="F15" t="s">
        <v>422</v>
      </c>
      <c r="G15" t="str" cm="1">
        <f t="array" ref="G15">"/* " &amp; F15 &amp; REPT(" ", MAX(LEN($F$2:$F$183)) - LEN(F15)) &amp; " */  " &amp; C15 &amp; ","</f>
        <v>/* KEY_BACKSPACE       */  39,</v>
      </c>
    </row>
    <row r="16" spans="1:7" x14ac:dyDescent="0.25">
      <c r="A16" t="s">
        <v>107</v>
      </c>
      <c r="B16" t="s">
        <v>54</v>
      </c>
      <c r="C16">
        <v>40</v>
      </c>
      <c r="D16">
        <f t="shared" si="0"/>
        <v>15</v>
      </c>
      <c r="E16">
        <f t="shared" si="1"/>
        <v>1</v>
      </c>
      <c r="F16" t="s">
        <v>423</v>
      </c>
      <c r="G16" t="str" cm="1">
        <f t="array" ref="G16">"/* " &amp; F16 &amp; REPT(" ", MAX(LEN($F$2:$F$183)) - LEN(F16)) &amp; " */  " &amp; C16 &amp; ","</f>
        <v>/* KEY_TAB             */  40,</v>
      </c>
    </row>
    <row r="17" spans="1:7" x14ac:dyDescent="0.25">
      <c r="A17" t="s">
        <v>67</v>
      </c>
      <c r="B17" t="s">
        <v>57</v>
      </c>
      <c r="C17">
        <v>17</v>
      </c>
      <c r="D17">
        <f t="shared" si="0"/>
        <v>16</v>
      </c>
      <c r="E17">
        <f t="shared" si="1"/>
        <v>1</v>
      </c>
      <c r="F17" t="s">
        <v>400</v>
      </c>
      <c r="G17" t="str" cm="1">
        <f t="array" ref="G17">"/* " &amp; F17 &amp; REPT(" ", MAX(LEN($F$2:$F$183)) - LEN(F17)) &amp; " */  " &amp; C17 &amp; ","</f>
        <v>/* KEY_Q               */  17,</v>
      </c>
    </row>
    <row r="18" spans="1:7" x14ac:dyDescent="0.25">
      <c r="A18" t="s">
        <v>78</v>
      </c>
      <c r="B18" t="s">
        <v>60</v>
      </c>
      <c r="C18">
        <v>23</v>
      </c>
      <c r="D18">
        <f t="shared" si="0"/>
        <v>17</v>
      </c>
      <c r="E18">
        <f t="shared" si="1"/>
        <v>1</v>
      </c>
      <c r="F18" t="s">
        <v>406</v>
      </c>
      <c r="G18" t="str" cm="1">
        <f t="array" ref="G18">"/* " &amp; F18 &amp; REPT(" ", MAX(LEN($F$2:$F$183)) - LEN(F18)) &amp; " */  " &amp; C18 &amp; ","</f>
        <v>/* KEY_W               */  23,</v>
      </c>
    </row>
    <row r="19" spans="1:7" x14ac:dyDescent="0.25">
      <c r="A19" t="s">
        <v>32</v>
      </c>
      <c r="B19" t="s">
        <v>34</v>
      </c>
      <c r="C19">
        <v>5</v>
      </c>
      <c r="D19">
        <f t="shared" si="0"/>
        <v>18</v>
      </c>
      <c r="E19">
        <f t="shared" si="1"/>
        <v>1</v>
      </c>
      <c r="F19" t="s">
        <v>388</v>
      </c>
      <c r="G19" t="str" cm="1">
        <f t="array" ref="G19">"/* " &amp; F19 &amp; REPT(" ", MAX(LEN($F$2:$F$183)) - LEN(F19)) &amp; " */  " &amp; C19 &amp; ","</f>
        <v>/* KEY_E               */  5,</v>
      </c>
    </row>
    <row r="20" spans="1:7" x14ac:dyDescent="0.25">
      <c r="A20" t="s">
        <v>69</v>
      </c>
      <c r="B20" t="s">
        <v>65</v>
      </c>
      <c r="C20">
        <v>18</v>
      </c>
      <c r="D20">
        <f t="shared" si="0"/>
        <v>19</v>
      </c>
      <c r="E20">
        <f t="shared" si="1"/>
        <v>1</v>
      </c>
      <c r="F20" t="s">
        <v>401</v>
      </c>
      <c r="G20" t="str" cm="1">
        <f t="array" ref="G20">"/* " &amp; F20 &amp; REPT(" ", MAX(LEN($F$2:$F$183)) - LEN(F20)) &amp; " */  " &amp; C20 &amp; ","</f>
        <v>/* KEY_R               */  18,</v>
      </c>
    </row>
    <row r="21" spans="1:7" x14ac:dyDescent="0.25">
      <c r="A21" t="s">
        <v>74</v>
      </c>
      <c r="B21" t="s">
        <v>68</v>
      </c>
      <c r="C21">
        <v>20</v>
      </c>
      <c r="D21">
        <f t="shared" si="0"/>
        <v>20</v>
      </c>
      <c r="E21">
        <f t="shared" si="1"/>
        <v>1</v>
      </c>
      <c r="F21" t="s">
        <v>403</v>
      </c>
      <c r="G21" t="str" cm="1">
        <f t="array" ref="G21">"/* " &amp; F21 &amp; REPT(" ", MAX(LEN($F$2:$F$183)) - LEN(F21)) &amp; " */  " &amp; C21 &amp; ","</f>
        <v>/* KEY_T               */  20,</v>
      </c>
    </row>
    <row r="22" spans="1:7" x14ac:dyDescent="0.25">
      <c r="A22" t="s">
        <v>83</v>
      </c>
      <c r="B22" t="s">
        <v>70</v>
      </c>
      <c r="C22">
        <v>25</v>
      </c>
      <c r="D22">
        <f t="shared" si="0"/>
        <v>21</v>
      </c>
      <c r="E22">
        <f t="shared" si="1"/>
        <v>1</v>
      </c>
      <c r="F22" t="s">
        <v>408</v>
      </c>
      <c r="G22" t="str" cm="1">
        <f t="array" ref="G22">"/* " &amp; F22 &amp; REPT(" ", MAX(LEN($F$2:$F$183)) - LEN(F22)) &amp; " */  " &amp; C22 &amp; ","</f>
        <v>/* KEY_Y               */  25,</v>
      </c>
    </row>
    <row r="23" spans="1:7" x14ac:dyDescent="0.25">
      <c r="A23" t="s">
        <v>75</v>
      </c>
      <c r="B23" t="s">
        <v>72</v>
      </c>
      <c r="C23">
        <v>21</v>
      </c>
      <c r="D23">
        <f t="shared" si="0"/>
        <v>22</v>
      </c>
      <c r="E23">
        <f t="shared" si="1"/>
        <v>1</v>
      </c>
      <c r="F23" t="s">
        <v>404</v>
      </c>
      <c r="G23" t="str" cm="1">
        <f t="array" ref="G23">"/* " &amp; F23 &amp; REPT(" ", MAX(LEN($F$2:$F$183)) - LEN(F23)) &amp; " */  " &amp; C23 &amp; ","</f>
        <v>/* KEY_U               */  21,</v>
      </c>
    </row>
    <row r="24" spans="1:7" x14ac:dyDescent="0.25">
      <c r="A24" t="s">
        <v>44</v>
      </c>
      <c r="B24" t="s">
        <v>46</v>
      </c>
      <c r="C24">
        <v>9</v>
      </c>
      <c r="D24">
        <f t="shared" si="0"/>
        <v>23</v>
      </c>
      <c r="E24">
        <f t="shared" si="1"/>
        <v>1</v>
      </c>
      <c r="F24" t="s">
        <v>392</v>
      </c>
      <c r="G24" t="str" cm="1">
        <f t="array" ref="G24">"/* " &amp; F24 &amp; REPT(" ", MAX(LEN($F$2:$F$183)) - LEN(F24)) &amp; " */  " &amp; C24 &amp; ","</f>
        <v>/* KEY_I               */  9,</v>
      </c>
    </row>
    <row r="25" spans="1:7" x14ac:dyDescent="0.25">
      <c r="A25" t="s">
        <v>62</v>
      </c>
      <c r="B25" t="s">
        <v>63</v>
      </c>
      <c r="C25">
        <v>15</v>
      </c>
      <c r="D25">
        <f t="shared" si="0"/>
        <v>24</v>
      </c>
      <c r="E25">
        <f t="shared" si="1"/>
        <v>1</v>
      </c>
      <c r="F25" t="s">
        <v>398</v>
      </c>
      <c r="G25" t="str" cm="1">
        <f t="array" ref="G25">"/* " &amp; F25 &amp; REPT(" ", MAX(LEN($F$2:$F$183)) - LEN(F25)) &amp; " */  " &amp; C25 &amp; ","</f>
        <v>/* KEY_O               */  15,</v>
      </c>
    </row>
    <row r="26" spans="1:7" x14ac:dyDescent="0.25">
      <c r="A26" t="s">
        <v>64</v>
      </c>
      <c r="B26" t="s">
        <v>66</v>
      </c>
      <c r="C26">
        <v>16</v>
      </c>
      <c r="D26">
        <f t="shared" si="0"/>
        <v>25</v>
      </c>
      <c r="E26">
        <f t="shared" si="1"/>
        <v>1</v>
      </c>
      <c r="F26" t="s">
        <v>399</v>
      </c>
      <c r="G26" t="str" cm="1">
        <f t="array" ref="G26">"/* " &amp; F26 &amp; REPT(" ", MAX(LEN($F$2:$F$183)) - LEN(F26)) &amp; " */  " &amp; C26 &amp; ","</f>
        <v>/* KEY_P               */  16,</v>
      </c>
    </row>
    <row r="27" spans="1:7" x14ac:dyDescent="0.25">
      <c r="A27" t="s">
        <v>113</v>
      </c>
      <c r="B27" t="s">
        <v>79</v>
      </c>
      <c r="C27">
        <v>44</v>
      </c>
      <c r="D27">
        <f t="shared" si="0"/>
        <v>26</v>
      </c>
      <c r="E27">
        <f t="shared" si="1"/>
        <v>1</v>
      </c>
      <c r="F27" t="s">
        <v>427</v>
      </c>
      <c r="G27" t="str" cm="1">
        <f t="array" ref="G27">"/* " &amp; F27 &amp; REPT(" ", MAX(LEN($F$2:$F$183)) - LEN(F27)) &amp; " */  " &amp; C27 &amp; ","</f>
        <v>/* KEY_LBRACE          */  44,</v>
      </c>
    </row>
    <row r="28" spans="1:7" x14ac:dyDescent="0.25">
      <c r="A28" t="s">
        <v>114</v>
      </c>
      <c r="B28" t="s">
        <v>81</v>
      </c>
      <c r="C28">
        <v>45</v>
      </c>
      <c r="D28">
        <f t="shared" si="0"/>
        <v>27</v>
      </c>
      <c r="E28">
        <f t="shared" si="1"/>
        <v>1</v>
      </c>
      <c r="F28" t="s">
        <v>428</v>
      </c>
      <c r="G28" t="str" cm="1">
        <f t="array" ref="G28">"/* " &amp; F28 &amp; REPT(" ", MAX(LEN($F$2:$F$183)) - LEN(F28)) &amp; " */  " &amp; C28 &amp; ","</f>
        <v>/* KEY_RBRACE          */  45,</v>
      </c>
    </row>
    <row r="29" spans="1:7" x14ac:dyDescent="0.25">
      <c r="A29" t="s">
        <v>101</v>
      </c>
      <c r="B29" t="s">
        <v>84</v>
      </c>
      <c r="C29">
        <v>37</v>
      </c>
      <c r="D29">
        <f t="shared" si="0"/>
        <v>28</v>
      </c>
      <c r="E29">
        <f t="shared" si="1"/>
        <v>1</v>
      </c>
      <c r="F29" t="s">
        <v>420</v>
      </c>
      <c r="G29" t="str" cm="1">
        <f t="array" ref="G29">"/* " &amp; F29 &amp; REPT(" ", MAX(LEN($F$2:$F$183)) - LEN(F29)) &amp; " */  " &amp; C29 &amp; ","</f>
        <v>/* KEY_ENTER           */  37,</v>
      </c>
    </row>
    <row r="30" spans="1:7" x14ac:dyDescent="0.25">
      <c r="A30" t="s">
        <v>292</v>
      </c>
      <c r="B30" t="s">
        <v>86</v>
      </c>
      <c r="C30">
        <v>99</v>
      </c>
      <c r="D30">
        <f t="shared" si="0"/>
        <v>29</v>
      </c>
      <c r="E30">
        <f t="shared" si="1"/>
        <v>1</v>
      </c>
      <c r="F30" t="s">
        <v>482</v>
      </c>
      <c r="G30" t="str" cm="1">
        <f t="array" ref="G30">"/* " &amp; F30 &amp; REPT(" ", MAX(LEN($F$2:$F$183)) - LEN(F30)) &amp; " */  " &amp; C30 &amp; ","</f>
        <v>/* KEY_LCONTROL        */  99,</v>
      </c>
    </row>
    <row r="31" spans="1:7" x14ac:dyDescent="0.25">
      <c r="A31" t="s">
        <v>21</v>
      </c>
      <c r="B31" t="s">
        <v>23</v>
      </c>
      <c r="C31">
        <v>1</v>
      </c>
      <c r="D31">
        <f t="shared" si="0"/>
        <v>30</v>
      </c>
      <c r="E31">
        <f t="shared" si="1"/>
        <v>1</v>
      </c>
      <c r="F31" t="s">
        <v>384</v>
      </c>
      <c r="G31" t="str" cm="1">
        <f t="array" ref="G31">"/* " &amp; F31 &amp; REPT(" ", MAX(LEN($F$2:$F$183)) - LEN(F31)) &amp; " */  " &amp; C31 &amp; ","</f>
        <v>/* KEY_A               */  1,</v>
      </c>
    </row>
    <row r="32" spans="1:7" x14ac:dyDescent="0.25">
      <c r="A32" t="s">
        <v>71</v>
      </c>
      <c r="B32" t="s">
        <v>73</v>
      </c>
      <c r="C32">
        <v>19</v>
      </c>
      <c r="D32">
        <f t="shared" si="0"/>
        <v>31</v>
      </c>
      <c r="E32">
        <f t="shared" si="1"/>
        <v>1</v>
      </c>
      <c r="F32" t="s">
        <v>402</v>
      </c>
      <c r="G32" t="str" cm="1">
        <f t="array" ref="G32">"/* " &amp; F32 &amp; REPT(" ", MAX(LEN($F$2:$F$183)) - LEN(F32)) &amp; " */  " &amp; C32 &amp; ","</f>
        <v>/* KEY_S               */  19,</v>
      </c>
    </row>
    <row r="33" spans="1:7" x14ac:dyDescent="0.25">
      <c r="A33" t="s">
        <v>30</v>
      </c>
      <c r="B33" t="s">
        <v>31</v>
      </c>
      <c r="C33">
        <v>4</v>
      </c>
      <c r="D33">
        <f t="shared" si="0"/>
        <v>32</v>
      </c>
      <c r="E33">
        <f t="shared" si="1"/>
        <v>1</v>
      </c>
      <c r="F33" t="s">
        <v>387</v>
      </c>
      <c r="G33" t="str" cm="1">
        <f t="array" ref="G33">"/* " &amp; F33 &amp; REPT(" ", MAX(LEN($F$2:$F$183)) - LEN(F33)) &amp; " */  " &amp; C33 &amp; ","</f>
        <v>/* KEY_D               */  4,</v>
      </c>
    </row>
    <row r="34" spans="1:7" x14ac:dyDescent="0.25">
      <c r="A34" t="s">
        <v>35</v>
      </c>
      <c r="B34" t="s">
        <v>37</v>
      </c>
      <c r="C34">
        <v>6</v>
      </c>
      <c r="D34">
        <f t="shared" ref="D34:D65" si="2">HEX2DEC(MID(B34, 3, 100))</f>
        <v>33</v>
      </c>
      <c r="E34">
        <f t="shared" si="1"/>
        <v>1</v>
      </c>
      <c r="F34" t="s">
        <v>389</v>
      </c>
      <c r="G34" t="str" cm="1">
        <f t="array" ref="G34">"/* " &amp; F34 &amp; REPT(" ", MAX(LEN($F$2:$F$183)) - LEN(F34)) &amp; " */  " &amp; C34 &amp; ","</f>
        <v>/* KEY_F               */  6,</v>
      </c>
    </row>
    <row r="35" spans="1:7" x14ac:dyDescent="0.25">
      <c r="A35" t="s">
        <v>38</v>
      </c>
      <c r="B35" t="s">
        <v>40</v>
      </c>
      <c r="C35">
        <v>7</v>
      </c>
      <c r="D35">
        <f t="shared" si="2"/>
        <v>34</v>
      </c>
      <c r="E35">
        <f t="shared" ref="E35:E66" si="3">D35 - D34</f>
        <v>1</v>
      </c>
      <c r="F35" t="s">
        <v>390</v>
      </c>
      <c r="G35" t="str" cm="1">
        <f t="array" ref="G35">"/* " &amp; F35 &amp; REPT(" ", MAX(LEN($F$2:$F$183)) - LEN(F35)) &amp; " */  " &amp; C35 &amp; ","</f>
        <v>/* KEY_G               */  7,</v>
      </c>
    </row>
    <row r="36" spans="1:7" x14ac:dyDescent="0.25">
      <c r="A36" t="s">
        <v>41</v>
      </c>
      <c r="B36" t="s">
        <v>43</v>
      </c>
      <c r="C36">
        <v>8</v>
      </c>
      <c r="D36">
        <f t="shared" si="2"/>
        <v>35</v>
      </c>
      <c r="E36">
        <f t="shared" si="3"/>
        <v>1</v>
      </c>
      <c r="F36" t="s">
        <v>391</v>
      </c>
      <c r="G36" t="str" cm="1">
        <f t="array" ref="G36">"/* " &amp; F36 &amp; REPT(" ", MAX(LEN($F$2:$F$183)) - LEN(F36)) &amp; " */  " &amp; C36 &amp; ","</f>
        <v>/* KEY_H               */  8,</v>
      </c>
    </row>
    <row r="37" spans="1:7" x14ac:dyDescent="0.25">
      <c r="A37" t="s">
        <v>47</v>
      </c>
      <c r="B37" t="s">
        <v>49</v>
      </c>
      <c r="C37">
        <v>10</v>
      </c>
      <c r="D37">
        <f t="shared" si="2"/>
        <v>36</v>
      </c>
      <c r="E37">
        <f t="shared" si="3"/>
        <v>1</v>
      </c>
      <c r="F37" t="s">
        <v>393</v>
      </c>
      <c r="G37" t="str" cm="1">
        <f t="array" ref="G37">"/* " &amp; F37 &amp; REPT(" ", MAX(LEN($F$2:$F$183)) - LEN(F37)) &amp; " */  " &amp; C37 &amp; ","</f>
        <v>/* KEY_J               */  10,</v>
      </c>
    </row>
    <row r="38" spans="1:7" x14ac:dyDescent="0.25">
      <c r="A38" t="s">
        <v>50</v>
      </c>
      <c r="B38" t="s">
        <v>52</v>
      </c>
      <c r="C38">
        <v>11</v>
      </c>
      <c r="D38">
        <f t="shared" si="2"/>
        <v>37</v>
      </c>
      <c r="E38">
        <f t="shared" si="3"/>
        <v>1</v>
      </c>
      <c r="F38" t="s">
        <v>394</v>
      </c>
      <c r="G38" t="str" cm="1">
        <f t="array" ref="G38">"/* " &amp; F38 &amp; REPT(" ", MAX(LEN($F$2:$F$183)) - LEN(F38)) &amp; " */  " &amp; C38 &amp; ","</f>
        <v>/* KEY_K               */  11,</v>
      </c>
    </row>
    <row r="39" spans="1:7" x14ac:dyDescent="0.25">
      <c r="A39" t="s">
        <v>53</v>
      </c>
      <c r="B39" t="s">
        <v>55</v>
      </c>
      <c r="C39">
        <v>12</v>
      </c>
      <c r="D39">
        <f t="shared" si="2"/>
        <v>38</v>
      </c>
      <c r="E39">
        <f t="shared" si="3"/>
        <v>1</v>
      </c>
      <c r="F39" t="s">
        <v>395</v>
      </c>
      <c r="G39" t="str" cm="1">
        <f t="array" ref="G39">"/* " &amp; F39 &amp; REPT(" ", MAX(LEN($F$2:$F$183)) - LEN(F39)) &amp; " */  " &amp; C39 &amp; ","</f>
        <v>/* KEY_L               */  12,</v>
      </c>
    </row>
    <row r="40" spans="1:7" x14ac:dyDescent="0.25">
      <c r="A40" t="s">
        <v>117</v>
      </c>
      <c r="B40" t="s">
        <v>100</v>
      </c>
      <c r="C40">
        <v>47</v>
      </c>
      <c r="D40">
        <f t="shared" si="2"/>
        <v>39</v>
      </c>
      <c r="E40">
        <f t="shared" si="3"/>
        <v>1</v>
      </c>
      <c r="F40" t="s">
        <v>430</v>
      </c>
      <c r="G40" t="str" cm="1">
        <f t="array" ref="G40">"/* " &amp; F40 &amp; REPT(" ", MAX(LEN($F$2:$F$183)) - LEN(F40)) &amp; " */  " &amp; C40 &amp; ","</f>
        <v>/* KEY_COLON           */  47,</v>
      </c>
    </row>
    <row r="41" spans="1:7" x14ac:dyDescent="0.25">
      <c r="A41" t="s">
        <v>119</v>
      </c>
      <c r="B41" t="s">
        <v>102</v>
      </c>
      <c r="C41">
        <v>48</v>
      </c>
      <c r="D41">
        <f t="shared" si="2"/>
        <v>40</v>
      </c>
      <c r="E41">
        <f t="shared" si="3"/>
        <v>1</v>
      </c>
      <c r="F41" t="s">
        <v>431</v>
      </c>
      <c r="G41" t="str" cm="1">
        <f t="array" ref="G41">"/* " &amp; F41 &amp; REPT(" ", MAX(LEN($F$2:$F$183)) - LEN(F41)) &amp; " */  " &amp; C41 &amp; ","</f>
        <v>/* KEY_APOSTROPHE      */  48,</v>
      </c>
    </row>
    <row r="42" spans="1:7" x14ac:dyDescent="0.25">
      <c r="A42" t="s">
        <v>121</v>
      </c>
      <c r="B42" t="s">
        <v>104</v>
      </c>
      <c r="C42">
        <v>49</v>
      </c>
      <c r="D42">
        <f t="shared" si="2"/>
        <v>41</v>
      </c>
      <c r="E42">
        <f t="shared" si="3"/>
        <v>1</v>
      </c>
      <c r="F42" t="s">
        <v>432</v>
      </c>
      <c r="G42" t="str" cm="1">
        <f t="array" ref="G42">"/* " &amp; F42 &amp; REPT(" ", MAX(LEN($F$2:$F$183)) - LEN(F42)) &amp; " */  " &amp; C42 &amp; ","</f>
        <v>/* KEY_GRAVE           */  49,</v>
      </c>
    </row>
    <row r="43" spans="1:7" x14ac:dyDescent="0.25">
      <c r="A43" t="s">
        <v>294</v>
      </c>
      <c r="B43" t="s">
        <v>106</v>
      </c>
      <c r="C43">
        <v>100</v>
      </c>
      <c r="D43">
        <f t="shared" si="2"/>
        <v>42</v>
      </c>
      <c r="E43">
        <f t="shared" si="3"/>
        <v>1</v>
      </c>
      <c r="F43" t="s">
        <v>483</v>
      </c>
      <c r="G43" t="str" cm="1">
        <f t="array" ref="G43">"/* " &amp; F43 &amp; REPT(" ", MAX(LEN($F$2:$F$183)) - LEN(F43)) &amp; " */  " &amp; C43 &amp; ","</f>
        <v>/* KEY_LSHIFT          */  100,</v>
      </c>
    </row>
    <row r="44" spans="1:7" x14ac:dyDescent="0.25">
      <c r="A44" t="s">
        <v>115</v>
      </c>
      <c r="B44" t="s">
        <v>108</v>
      </c>
      <c r="C44">
        <v>46</v>
      </c>
      <c r="D44">
        <f t="shared" si="2"/>
        <v>43</v>
      </c>
      <c r="E44">
        <f t="shared" si="3"/>
        <v>1</v>
      </c>
      <c r="F44" t="s">
        <v>429</v>
      </c>
      <c r="G44" t="str" cm="1">
        <f t="array" ref="G44">"/* " &amp; F44 &amp; REPT(" ", MAX(LEN($F$2:$F$183)) - LEN(F44)) &amp; " */  " &amp; C44 &amp; ","</f>
        <v>/* KEY_BACKSLASH       */  46,</v>
      </c>
    </row>
    <row r="45" spans="1:7" x14ac:dyDescent="0.25">
      <c r="A45" t="s">
        <v>85</v>
      </c>
      <c r="B45" t="s">
        <v>87</v>
      </c>
      <c r="C45">
        <v>26</v>
      </c>
      <c r="D45">
        <f t="shared" si="2"/>
        <v>44</v>
      </c>
      <c r="E45">
        <f t="shared" si="3"/>
        <v>1</v>
      </c>
      <c r="F45" t="s">
        <v>409</v>
      </c>
      <c r="G45" t="str" cm="1">
        <f t="array" ref="G45">"/* " &amp; F45 &amp; REPT(" ", MAX(LEN($F$2:$F$183)) - LEN(F45)) &amp; " */  " &amp; C45 &amp; ","</f>
        <v>/* KEY_Z               */  26,</v>
      </c>
    </row>
    <row r="46" spans="1:7" x14ac:dyDescent="0.25">
      <c r="A46" t="s">
        <v>80</v>
      </c>
      <c r="B46" t="s">
        <v>82</v>
      </c>
      <c r="C46">
        <v>24</v>
      </c>
      <c r="D46">
        <f t="shared" si="2"/>
        <v>45</v>
      </c>
      <c r="E46">
        <f t="shared" si="3"/>
        <v>1</v>
      </c>
      <c r="F46" t="s">
        <v>407</v>
      </c>
      <c r="G46" t="str" cm="1">
        <f t="array" ref="G46">"/* " &amp; F46 &amp; REPT(" ", MAX(LEN($F$2:$F$183)) - LEN(F46)) &amp; " */  " &amp; C46 &amp; ","</f>
        <v>/* KEY_X               */  24,</v>
      </c>
    </row>
    <row r="47" spans="1:7" x14ac:dyDescent="0.25">
      <c r="A47" t="s">
        <v>27</v>
      </c>
      <c r="B47" t="s">
        <v>29</v>
      </c>
      <c r="C47">
        <v>3</v>
      </c>
      <c r="D47">
        <f t="shared" si="2"/>
        <v>46</v>
      </c>
      <c r="E47">
        <f t="shared" si="3"/>
        <v>1</v>
      </c>
      <c r="F47" t="s">
        <v>386</v>
      </c>
      <c r="G47" t="str" cm="1">
        <f t="array" ref="G47">"/* " &amp; F47 &amp; REPT(" ", MAX(LEN($F$2:$F$183)) - LEN(F47)) &amp; " */  " &amp; C47 &amp; ","</f>
        <v>/* KEY_C               */  3,</v>
      </c>
    </row>
    <row r="48" spans="1:7" x14ac:dyDescent="0.25">
      <c r="A48" t="s">
        <v>76</v>
      </c>
      <c r="B48" t="s">
        <v>77</v>
      </c>
      <c r="C48">
        <v>22</v>
      </c>
      <c r="D48">
        <f t="shared" si="2"/>
        <v>47</v>
      </c>
      <c r="E48">
        <f t="shared" si="3"/>
        <v>1</v>
      </c>
      <c r="F48" t="s">
        <v>405</v>
      </c>
      <c r="G48" t="str" cm="1">
        <f t="array" ref="G48">"/* " &amp; F48 &amp; REPT(" ", MAX(LEN($F$2:$F$183)) - LEN(F48)) &amp; " */  " &amp; C48 &amp; ","</f>
        <v>/* KEY_V               */  22,</v>
      </c>
    </row>
    <row r="49" spans="1:7" x14ac:dyDescent="0.25">
      <c r="A49" t="s">
        <v>24</v>
      </c>
      <c r="B49" t="s">
        <v>26</v>
      </c>
      <c r="C49">
        <v>2</v>
      </c>
      <c r="D49">
        <f t="shared" si="2"/>
        <v>48</v>
      </c>
      <c r="E49">
        <f t="shared" si="3"/>
        <v>1</v>
      </c>
      <c r="F49" t="s">
        <v>385</v>
      </c>
      <c r="G49" t="str" cm="1">
        <f t="array" ref="G49">"/* " &amp; F49 &amp; REPT(" ", MAX(LEN($F$2:$F$183)) - LEN(F49)) &amp; " */  " &amp; C49 &amp; ","</f>
        <v>/* KEY_B               */  2,</v>
      </c>
    </row>
    <row r="50" spans="1:7" x14ac:dyDescent="0.25">
      <c r="A50" t="s">
        <v>59</v>
      </c>
      <c r="B50" t="s">
        <v>61</v>
      </c>
      <c r="C50">
        <v>14</v>
      </c>
      <c r="D50">
        <f t="shared" si="2"/>
        <v>49</v>
      </c>
      <c r="E50">
        <f t="shared" si="3"/>
        <v>1</v>
      </c>
      <c r="F50" t="s">
        <v>397</v>
      </c>
      <c r="G50" t="str" cm="1">
        <f t="array" ref="G50">"/* " &amp; F50 &amp; REPT(" ", MAX(LEN($F$2:$F$183)) - LEN(F50)) &amp; " */  " &amp; C50 &amp; ","</f>
        <v>/* KEY_N               */  14,</v>
      </c>
    </row>
    <row r="51" spans="1:7" x14ac:dyDescent="0.25">
      <c r="A51" t="s">
        <v>56</v>
      </c>
      <c r="B51" t="s">
        <v>58</v>
      </c>
      <c r="C51">
        <v>13</v>
      </c>
      <c r="D51">
        <f t="shared" si="2"/>
        <v>50</v>
      </c>
      <c r="E51">
        <f t="shared" si="3"/>
        <v>1</v>
      </c>
      <c r="F51" t="s">
        <v>396</v>
      </c>
      <c r="G51" t="str" cm="1">
        <f t="array" ref="G51">"/* " &amp; F51 &amp; REPT(" ", MAX(LEN($F$2:$F$183)) - LEN(F51)) &amp; " */  " &amp; C51 &amp; ","</f>
        <v>/* KEY_M               */  13,</v>
      </c>
    </row>
    <row r="52" spans="1:7" x14ac:dyDescent="0.25">
      <c r="A52" t="s">
        <v>123</v>
      </c>
      <c r="B52" t="s">
        <v>118</v>
      </c>
      <c r="C52">
        <v>50</v>
      </c>
      <c r="D52">
        <f t="shared" si="2"/>
        <v>51</v>
      </c>
      <c r="E52">
        <f t="shared" si="3"/>
        <v>1</v>
      </c>
      <c r="F52" t="s">
        <v>433</v>
      </c>
      <c r="G52" t="str" cm="1">
        <f t="array" ref="G52">"/* " &amp; F52 &amp; REPT(" ", MAX(LEN($F$2:$F$183)) - LEN(F52)) &amp; " */  " &amp; C52 &amp; ","</f>
        <v>/* KEY_COMMA           */  50,</v>
      </c>
    </row>
    <row r="53" spans="1:7" x14ac:dyDescent="0.25">
      <c r="A53" t="s">
        <v>125</v>
      </c>
      <c r="B53" t="s">
        <v>120</v>
      </c>
      <c r="C53">
        <v>51</v>
      </c>
      <c r="D53">
        <f t="shared" si="2"/>
        <v>52</v>
      </c>
      <c r="E53">
        <f t="shared" si="3"/>
        <v>1</v>
      </c>
      <c r="F53" t="s">
        <v>434</v>
      </c>
      <c r="G53" t="str" cm="1">
        <f t="array" ref="G53">"/* " &amp; F53 &amp; REPT(" ", MAX(LEN($F$2:$F$183)) - LEN(F53)) &amp; " */  " &amp; C53 &amp; ","</f>
        <v>/* KEY_PERIOD          */  51,</v>
      </c>
    </row>
    <row r="54" spans="1:7" x14ac:dyDescent="0.25">
      <c r="A54" t="s">
        <v>127</v>
      </c>
      <c r="B54" t="s">
        <v>122</v>
      </c>
      <c r="C54">
        <v>52</v>
      </c>
      <c r="D54">
        <f t="shared" si="2"/>
        <v>53</v>
      </c>
      <c r="E54">
        <f t="shared" si="3"/>
        <v>1</v>
      </c>
      <c r="F54" t="s">
        <v>435</v>
      </c>
      <c r="G54" t="str" cm="1">
        <f t="array" ref="G54">"/* " &amp; F54 &amp; REPT(" ", MAX(LEN($F$2:$F$183)) - LEN(F54)) &amp; " */  " &amp; C54 &amp; ","</f>
        <v>/* KEY_FORWARDSLASH    */  52,</v>
      </c>
    </row>
    <row r="55" spans="1:7" x14ac:dyDescent="0.25">
      <c r="A55" t="s">
        <v>304</v>
      </c>
      <c r="B55" t="s">
        <v>124</v>
      </c>
      <c r="C55">
        <v>104</v>
      </c>
      <c r="D55">
        <f t="shared" si="2"/>
        <v>54</v>
      </c>
      <c r="E55">
        <f t="shared" si="3"/>
        <v>1</v>
      </c>
      <c r="F55" t="s">
        <v>487</v>
      </c>
      <c r="G55" t="str" cm="1">
        <f t="array" ref="G55">"/* " &amp; F55 &amp; REPT(" ", MAX(LEN($F$2:$F$183)) - LEN(F55)) &amp; " */  " &amp; C55 &amp; ","</f>
        <v>/* KEY_RSHIFT          */  104,</v>
      </c>
    </row>
    <row r="56" spans="1:7" x14ac:dyDescent="0.25">
      <c r="A56" t="s">
        <v>199</v>
      </c>
      <c r="B56" t="s">
        <v>126</v>
      </c>
      <c r="C56">
        <v>83</v>
      </c>
      <c r="D56">
        <f t="shared" si="2"/>
        <v>55</v>
      </c>
      <c r="E56">
        <f t="shared" si="3"/>
        <v>1</v>
      </c>
      <c r="F56" t="s">
        <v>466</v>
      </c>
      <c r="G56" t="str" cm="1">
        <f t="array" ref="G56">"/* " &amp; F56 &amp; REPT(" ", MAX(LEN($F$2:$F$183)) - LEN(F56)) &amp; " */  " &amp; C56 &amp; ","</f>
        <v>/* KEY_NP_STAR         */  83,</v>
      </c>
    </row>
    <row r="57" spans="1:7" x14ac:dyDescent="0.25">
      <c r="A57" t="s">
        <v>296</v>
      </c>
      <c r="B57" t="s">
        <v>128</v>
      </c>
      <c r="C57">
        <v>101</v>
      </c>
      <c r="D57">
        <f t="shared" si="2"/>
        <v>56</v>
      </c>
      <c r="E57">
        <f t="shared" si="3"/>
        <v>1</v>
      </c>
      <c r="F57" t="s">
        <v>484</v>
      </c>
      <c r="G57" t="str" cm="1">
        <f t="array" ref="G57">"/* " &amp; F57 &amp; REPT(" ", MAX(LEN($F$2:$F$183)) - LEN(F57)) &amp; " */  " &amp; C57 &amp; ","</f>
        <v>/* KEY_LALT            */  101,</v>
      </c>
    </row>
    <row r="58" spans="1:7" x14ac:dyDescent="0.25">
      <c r="A58" t="s">
        <v>109</v>
      </c>
      <c r="B58" t="s">
        <v>110</v>
      </c>
      <c r="C58">
        <v>41</v>
      </c>
      <c r="D58">
        <f t="shared" si="2"/>
        <v>57</v>
      </c>
      <c r="E58">
        <f t="shared" si="3"/>
        <v>1</v>
      </c>
      <c r="F58" t="s">
        <v>424</v>
      </c>
      <c r="G58" t="str" cm="1">
        <f t="array" ref="G58">"/* " &amp; F58 &amp; REPT(" ", MAX(LEN($F$2:$F$183)) - LEN(F58)) &amp; " */  " &amp; C58 &amp; ","</f>
        <v>/* KEY_SPACE           */  41,</v>
      </c>
    </row>
    <row r="59" spans="1:7" x14ac:dyDescent="0.25">
      <c r="A59" t="s">
        <v>129</v>
      </c>
      <c r="B59" t="s">
        <v>130</v>
      </c>
      <c r="C59">
        <v>53</v>
      </c>
      <c r="D59">
        <f t="shared" si="2"/>
        <v>58</v>
      </c>
      <c r="E59">
        <f t="shared" si="3"/>
        <v>1</v>
      </c>
      <c r="F59" t="s">
        <v>436</v>
      </c>
      <c r="G59" t="str" cm="1">
        <f t="array" ref="G59">"/* " &amp; F59 &amp; REPT(" ", MAX(LEN($F$2:$F$183)) - LEN(F59)) &amp; " */  " &amp; C59 &amp; ","</f>
        <v>/* KEY_CAPSLOCK        */  53,</v>
      </c>
    </row>
    <row r="60" spans="1:7" x14ac:dyDescent="0.25">
      <c r="A60" t="s">
        <v>131</v>
      </c>
      <c r="B60" t="s">
        <v>132</v>
      </c>
      <c r="C60">
        <v>54</v>
      </c>
      <c r="D60">
        <f t="shared" si="2"/>
        <v>59</v>
      </c>
      <c r="E60">
        <f t="shared" si="3"/>
        <v>1</v>
      </c>
      <c r="F60" t="s">
        <v>437</v>
      </c>
      <c r="G60" t="str" cm="1">
        <f t="array" ref="G60">"/* " &amp; F60 &amp; REPT(" ", MAX(LEN($F$2:$F$183)) - LEN(F60)) &amp; " */  " &amp; C60 &amp; ","</f>
        <v>/* KEY_F1              */  54,</v>
      </c>
    </row>
    <row r="61" spans="1:7" x14ac:dyDescent="0.25">
      <c r="A61" t="s">
        <v>133</v>
      </c>
      <c r="B61" t="s">
        <v>134</v>
      </c>
      <c r="C61">
        <v>55</v>
      </c>
      <c r="D61">
        <f t="shared" si="2"/>
        <v>60</v>
      </c>
      <c r="E61">
        <f t="shared" si="3"/>
        <v>1</v>
      </c>
      <c r="F61" t="s">
        <v>438</v>
      </c>
      <c r="G61" t="str" cm="1">
        <f t="array" ref="G61">"/* " &amp; F61 &amp; REPT(" ", MAX(LEN($F$2:$F$183)) - LEN(F61)) &amp; " */  " &amp; C61 &amp; ","</f>
        <v>/* KEY_F2              */  55,</v>
      </c>
    </row>
    <row r="62" spans="1:7" x14ac:dyDescent="0.25">
      <c r="A62" t="s">
        <v>135</v>
      </c>
      <c r="B62" t="s">
        <v>136</v>
      </c>
      <c r="C62">
        <v>56</v>
      </c>
      <c r="D62">
        <f t="shared" si="2"/>
        <v>61</v>
      </c>
      <c r="E62">
        <f t="shared" si="3"/>
        <v>1</v>
      </c>
      <c r="F62" t="s">
        <v>439</v>
      </c>
      <c r="G62" t="str" cm="1">
        <f t="array" ref="G62">"/* " &amp; F62 &amp; REPT(" ", MAX(LEN($F$2:$F$183)) - LEN(F62)) &amp; " */  " &amp; C62 &amp; ","</f>
        <v>/* KEY_F3              */  56,</v>
      </c>
    </row>
    <row r="63" spans="1:7" x14ac:dyDescent="0.25">
      <c r="A63" t="s">
        <v>137</v>
      </c>
      <c r="B63" t="s">
        <v>138</v>
      </c>
      <c r="C63">
        <v>57</v>
      </c>
      <c r="D63">
        <f t="shared" si="2"/>
        <v>62</v>
      </c>
      <c r="E63">
        <f t="shared" si="3"/>
        <v>1</v>
      </c>
      <c r="F63" t="s">
        <v>440</v>
      </c>
      <c r="G63" t="str" cm="1">
        <f t="array" ref="G63">"/* " &amp; F63 &amp; REPT(" ", MAX(LEN($F$2:$F$183)) - LEN(F63)) &amp; " */  " &amp; C63 &amp; ","</f>
        <v>/* KEY_F4              */  57,</v>
      </c>
    </row>
    <row r="64" spans="1:7" x14ac:dyDescent="0.25">
      <c r="A64" t="s">
        <v>139</v>
      </c>
      <c r="B64" t="s">
        <v>140</v>
      </c>
      <c r="C64">
        <v>58</v>
      </c>
      <c r="D64">
        <f t="shared" si="2"/>
        <v>63</v>
      </c>
      <c r="E64">
        <f t="shared" si="3"/>
        <v>1</v>
      </c>
      <c r="F64" t="s">
        <v>441</v>
      </c>
      <c r="G64" t="str" cm="1">
        <f t="array" ref="G64">"/* " &amp; F64 &amp; REPT(" ", MAX(LEN($F$2:$F$183)) - LEN(F64)) &amp; " */  " &amp; C64 &amp; ","</f>
        <v>/* KEY_F5              */  58,</v>
      </c>
    </row>
    <row r="65" spans="1:7" x14ac:dyDescent="0.25">
      <c r="A65" t="s">
        <v>141</v>
      </c>
      <c r="B65" t="s">
        <v>142</v>
      </c>
      <c r="C65">
        <v>59</v>
      </c>
      <c r="D65">
        <f t="shared" si="2"/>
        <v>64</v>
      </c>
      <c r="E65">
        <f t="shared" si="3"/>
        <v>1</v>
      </c>
      <c r="F65" t="s">
        <v>442</v>
      </c>
      <c r="G65" t="str" cm="1">
        <f t="array" ref="G65">"/* " &amp; F65 &amp; REPT(" ", MAX(LEN($F$2:$F$183)) - LEN(F65)) &amp; " */  " &amp; C65 &amp; ","</f>
        <v>/* KEY_F6              */  59,</v>
      </c>
    </row>
    <row r="66" spans="1:7" x14ac:dyDescent="0.25">
      <c r="A66" t="s">
        <v>143</v>
      </c>
      <c r="B66" t="s">
        <v>144</v>
      </c>
      <c r="C66">
        <v>60</v>
      </c>
      <c r="D66">
        <f t="shared" ref="D66:D163" si="4">HEX2DEC(MID(B66, 3, 100))</f>
        <v>65</v>
      </c>
      <c r="E66">
        <f t="shared" si="3"/>
        <v>1</v>
      </c>
      <c r="F66" t="s">
        <v>443</v>
      </c>
      <c r="G66" t="str" cm="1">
        <f t="array" ref="G66">"/* " &amp; F66 &amp; REPT(" ", MAX(LEN($F$2:$F$183)) - LEN(F66)) &amp; " */  " &amp; C66 &amp; ","</f>
        <v>/* KEY_F7              */  60,</v>
      </c>
    </row>
    <row r="67" spans="1:7" x14ac:dyDescent="0.25">
      <c r="A67" t="s">
        <v>145</v>
      </c>
      <c r="B67" t="s">
        <v>146</v>
      </c>
      <c r="C67">
        <v>61</v>
      </c>
      <c r="D67">
        <f t="shared" si="4"/>
        <v>66</v>
      </c>
      <c r="E67">
        <f t="shared" ref="E67:E163" si="5">D67 - D66</f>
        <v>1</v>
      </c>
      <c r="F67" t="s">
        <v>444</v>
      </c>
      <c r="G67" t="str" cm="1">
        <f t="array" ref="G67">"/* " &amp; F67 &amp; REPT(" ", MAX(LEN($F$2:$F$183)) - LEN(F67)) &amp; " */  " &amp; C67 &amp; ","</f>
        <v>/* KEY_F8              */  61,</v>
      </c>
    </row>
    <row r="68" spans="1:7" x14ac:dyDescent="0.25">
      <c r="A68" t="s">
        <v>147</v>
      </c>
      <c r="B68" t="s">
        <v>148</v>
      </c>
      <c r="C68">
        <v>62</v>
      </c>
      <c r="D68">
        <f t="shared" si="4"/>
        <v>67</v>
      </c>
      <c r="E68">
        <f t="shared" si="5"/>
        <v>1</v>
      </c>
      <c r="F68" t="s">
        <v>445</v>
      </c>
      <c r="G68" t="str" cm="1">
        <f t="array" ref="G68">"/* " &amp; F68 &amp; REPT(" ", MAX(LEN($F$2:$F$183)) - LEN(F68)) &amp; " */  " &amp; C68 &amp; ","</f>
        <v>/* KEY_F9              */  62,</v>
      </c>
    </row>
    <row r="69" spans="1:7" x14ac:dyDescent="0.25">
      <c r="A69" t="s">
        <v>149</v>
      </c>
      <c r="B69" t="s">
        <v>150</v>
      </c>
      <c r="C69">
        <v>63</v>
      </c>
      <c r="D69">
        <f t="shared" si="4"/>
        <v>68</v>
      </c>
      <c r="E69">
        <f t="shared" si="5"/>
        <v>1</v>
      </c>
      <c r="F69" t="s">
        <v>446</v>
      </c>
      <c r="G69" t="str" cm="1">
        <f t="array" ref="G69">"/* " &amp; F69 &amp; REPT(" ", MAX(LEN($F$2:$F$183)) - LEN(F69)) &amp; " */  " &amp; C69 &amp; ","</f>
        <v>/* KEY_F10             */  63,</v>
      </c>
    </row>
    <row r="70" spans="1:7" x14ac:dyDescent="0.25">
      <c r="A70" t="s">
        <v>161</v>
      </c>
      <c r="B70" t="s">
        <v>154</v>
      </c>
      <c r="C70">
        <v>70</v>
      </c>
      <c r="D70">
        <f t="shared" si="4"/>
        <v>69</v>
      </c>
      <c r="E70">
        <f t="shared" si="5"/>
        <v>1</v>
      </c>
      <c r="F70" t="s">
        <v>453</v>
      </c>
      <c r="G70" t="str" cm="1">
        <f t="array" ref="G70">"/* " &amp; F70 &amp; REPT(" ", MAX(LEN($F$2:$F$183)) - LEN(F70)) &amp; " */  " &amp; C70 &amp; ","</f>
        <v>/* KEY_PAUSE           */  70,</v>
      </c>
    </row>
    <row r="71" spans="1:7" x14ac:dyDescent="0.25">
      <c r="A71" t="s">
        <v>159</v>
      </c>
      <c r="B71" t="s">
        <v>157</v>
      </c>
      <c r="C71">
        <v>68</v>
      </c>
      <c r="D71">
        <f t="shared" si="4"/>
        <v>70</v>
      </c>
      <c r="E71">
        <f t="shared" si="5"/>
        <v>1</v>
      </c>
      <c r="F71" t="s">
        <v>451</v>
      </c>
      <c r="G71" t="str" cm="1">
        <f t="array" ref="G71">"/* " &amp; F71 &amp; REPT(" ", MAX(LEN($F$2:$F$183)) - LEN(F71)) &amp; " */  " &amp; C71 &amp; ","</f>
        <v>/* KEY_SCROLLLOCK      */  68,</v>
      </c>
    </row>
    <row r="72" spans="1:7" x14ac:dyDescent="0.25">
      <c r="A72" t="s">
        <v>218</v>
      </c>
      <c r="B72" t="s">
        <v>160</v>
      </c>
      <c r="C72">
        <v>93</v>
      </c>
      <c r="D72">
        <f t="shared" si="4"/>
        <v>71</v>
      </c>
      <c r="E72">
        <f t="shared" si="5"/>
        <v>1</v>
      </c>
      <c r="F72" t="s">
        <v>476</v>
      </c>
      <c r="G72" t="str" cm="1">
        <f t="array" ref="G72">"/* " &amp; F72 &amp; REPT(" ", MAX(LEN($F$2:$F$183)) - LEN(F72)) &amp; " */  " &amp; C72 &amp; ","</f>
        <v>/* KEY_NP_7            */  93,</v>
      </c>
    </row>
    <row r="73" spans="1:7" x14ac:dyDescent="0.25">
      <c r="A73" t="s">
        <v>220</v>
      </c>
      <c r="B73" t="s">
        <v>162</v>
      </c>
      <c r="C73">
        <v>94</v>
      </c>
      <c r="D73">
        <f t="shared" si="4"/>
        <v>72</v>
      </c>
      <c r="E73">
        <f t="shared" si="5"/>
        <v>1</v>
      </c>
      <c r="F73" t="s">
        <v>477</v>
      </c>
      <c r="G73" t="str" cm="1">
        <f t="array" ref="G73">"/* " &amp; F73 &amp; REPT(" ", MAX(LEN($F$2:$F$183)) - LEN(F73)) &amp; " */  " &amp; C73 &amp; ","</f>
        <v>/* KEY_NP_8            */  94,</v>
      </c>
    </row>
    <row r="74" spans="1:7" x14ac:dyDescent="0.25">
      <c r="A74" t="s">
        <v>222</v>
      </c>
      <c r="B74" t="s">
        <v>165</v>
      </c>
      <c r="C74">
        <v>95</v>
      </c>
      <c r="D74">
        <f t="shared" si="4"/>
        <v>73</v>
      </c>
      <c r="E74">
        <f t="shared" si="5"/>
        <v>1</v>
      </c>
      <c r="F74" t="s">
        <v>478</v>
      </c>
      <c r="G74" t="str" cm="1">
        <f t="array" ref="G74">"/* " &amp; F74 &amp; REPT(" ", MAX(LEN($F$2:$F$183)) - LEN(F74)) &amp; " */  " &amp; C74 &amp; ","</f>
        <v>/* KEY_NP_9            */  95,</v>
      </c>
    </row>
    <row r="75" spans="1:7" x14ac:dyDescent="0.25">
      <c r="A75" t="s">
        <v>201</v>
      </c>
      <c r="B75" t="s">
        <v>168</v>
      </c>
      <c r="C75">
        <v>84</v>
      </c>
      <c r="D75">
        <f t="shared" si="4"/>
        <v>74</v>
      </c>
      <c r="E75">
        <f t="shared" si="5"/>
        <v>1</v>
      </c>
      <c r="F75" t="s">
        <v>467</v>
      </c>
      <c r="G75" t="str" cm="1">
        <f t="array" ref="G75">"/* " &amp; F75 &amp; REPT(" ", MAX(LEN($F$2:$F$183)) - LEN(F75)) &amp; " */  " &amp; C75 &amp; ","</f>
        <v>/* KEY_NP_DASH         */  84,</v>
      </c>
    </row>
    <row r="76" spans="1:7" x14ac:dyDescent="0.25">
      <c r="A76" t="s">
        <v>212</v>
      </c>
      <c r="B76" t="s">
        <v>171</v>
      </c>
      <c r="C76">
        <v>90</v>
      </c>
      <c r="D76">
        <f t="shared" si="4"/>
        <v>75</v>
      </c>
      <c r="E76">
        <f t="shared" si="5"/>
        <v>1</v>
      </c>
      <c r="F76" t="s">
        <v>473</v>
      </c>
      <c r="G76" t="str" cm="1">
        <f t="array" ref="G76">"/* " &amp; F76 &amp; REPT(" ", MAX(LEN($F$2:$F$183)) - LEN(F76)) &amp; " */  " &amp; C76 &amp; ","</f>
        <v>/* KEY_NP_4            */  90,</v>
      </c>
    </row>
    <row r="77" spans="1:7" x14ac:dyDescent="0.25">
      <c r="A77" t="s">
        <v>214</v>
      </c>
      <c r="B77" t="s">
        <v>174</v>
      </c>
      <c r="C77">
        <v>91</v>
      </c>
      <c r="D77">
        <f t="shared" si="4"/>
        <v>76</v>
      </c>
      <c r="E77">
        <f t="shared" si="5"/>
        <v>1</v>
      </c>
      <c r="F77" t="s">
        <v>474</v>
      </c>
      <c r="G77" t="str" cm="1">
        <f t="array" ref="G77">"/* " &amp; F77 &amp; REPT(" ", MAX(LEN($F$2:$F$183)) - LEN(F77)) &amp; " */  " &amp; C77 &amp; ","</f>
        <v>/* KEY_NP_5            */  91,</v>
      </c>
    </row>
    <row r="78" spans="1:7" x14ac:dyDescent="0.25">
      <c r="A78" t="s">
        <v>216</v>
      </c>
      <c r="B78" t="s">
        <v>177</v>
      </c>
      <c r="C78">
        <v>92</v>
      </c>
      <c r="D78">
        <f t="shared" si="4"/>
        <v>77</v>
      </c>
      <c r="E78">
        <f t="shared" si="5"/>
        <v>1</v>
      </c>
      <c r="F78" t="s">
        <v>475</v>
      </c>
      <c r="G78" t="str" cm="1">
        <f t="array" ref="G78">"/* " &amp; F78 &amp; REPT(" ", MAX(LEN($F$2:$F$183)) - LEN(F78)) &amp; " */  " &amp; C78 &amp; ","</f>
        <v>/* KEY_NP_6            */  92,</v>
      </c>
    </row>
    <row r="79" spans="1:7" x14ac:dyDescent="0.25">
      <c r="A79" t="s">
        <v>203</v>
      </c>
      <c r="B79" t="s">
        <v>180</v>
      </c>
      <c r="C79">
        <v>85</v>
      </c>
      <c r="D79">
        <f t="shared" si="4"/>
        <v>78</v>
      </c>
      <c r="E79">
        <f t="shared" si="5"/>
        <v>1</v>
      </c>
      <c r="F79" t="s">
        <v>468</v>
      </c>
      <c r="G79" t="str" cm="1">
        <f t="array" ref="G79">"/* " &amp; F79 &amp; REPT(" ", MAX(LEN($F$2:$F$183)) - LEN(F79)) &amp; " */  " &amp; C79 &amp; ","</f>
        <v>/* KEY_NP_PLUS         */  85,</v>
      </c>
    </row>
    <row r="80" spans="1:7" x14ac:dyDescent="0.25">
      <c r="A80" t="s">
        <v>206</v>
      </c>
      <c r="B80" t="s">
        <v>183</v>
      </c>
      <c r="C80">
        <v>87</v>
      </c>
      <c r="D80">
        <f t="shared" si="4"/>
        <v>79</v>
      </c>
      <c r="E80">
        <f t="shared" si="5"/>
        <v>1</v>
      </c>
      <c r="F80" t="s">
        <v>470</v>
      </c>
      <c r="G80" t="str" cm="1">
        <f t="array" ref="G80">"/* " &amp; F80 &amp; REPT(" ", MAX(LEN($F$2:$F$183)) - LEN(F80)) &amp; " */  " &amp; C80 &amp; ","</f>
        <v>/* KEY_NP_1            */  87,</v>
      </c>
    </row>
    <row r="81" spans="1:7" x14ac:dyDescent="0.25">
      <c r="A81" t="s">
        <v>208</v>
      </c>
      <c r="B81" t="s">
        <v>186</v>
      </c>
      <c r="C81">
        <v>88</v>
      </c>
      <c r="D81">
        <f t="shared" si="4"/>
        <v>80</v>
      </c>
      <c r="E81">
        <f t="shared" si="5"/>
        <v>1</v>
      </c>
      <c r="F81" t="s">
        <v>471</v>
      </c>
      <c r="G81" t="str" cm="1">
        <f t="array" ref="G81">"/* " &amp; F81 &amp; REPT(" ", MAX(LEN($F$2:$F$183)) - LEN(F81)) &amp; " */  " &amp; C81 &amp; ","</f>
        <v>/* KEY_NP_2            */  88,</v>
      </c>
    </row>
    <row r="82" spans="1:7" x14ac:dyDescent="0.25">
      <c r="A82" t="s">
        <v>210</v>
      </c>
      <c r="B82" t="s">
        <v>189</v>
      </c>
      <c r="C82">
        <v>89</v>
      </c>
      <c r="D82">
        <f t="shared" si="4"/>
        <v>81</v>
      </c>
      <c r="E82">
        <f t="shared" si="5"/>
        <v>1</v>
      </c>
      <c r="F82" t="s">
        <v>472</v>
      </c>
      <c r="G82" t="str" cm="1">
        <f t="array" ref="G82">"/* " &amp; F82 &amp; REPT(" ", MAX(LEN($F$2:$F$183)) - LEN(F82)) &amp; " */  " &amp; C82 &amp; ","</f>
        <v>/* KEY_NP_3            */  89,</v>
      </c>
    </row>
    <row r="83" spans="1:7" x14ac:dyDescent="0.25">
      <c r="A83" t="s">
        <v>224</v>
      </c>
      <c r="B83" t="s">
        <v>192</v>
      </c>
      <c r="C83">
        <v>96</v>
      </c>
      <c r="D83">
        <f t="shared" si="4"/>
        <v>82</v>
      </c>
      <c r="E83">
        <f t="shared" si="5"/>
        <v>1</v>
      </c>
      <c r="F83" t="s">
        <v>479</v>
      </c>
      <c r="G83" t="str" cm="1">
        <f t="array" ref="G83">"/* " &amp; F83 &amp; REPT(" ", MAX(LEN($F$2:$F$183)) - LEN(F83)) &amp; " */  " &amp; C83 &amp; ","</f>
        <v>/* KEY_NP_0            */  96,</v>
      </c>
    </row>
    <row r="84" spans="1:7" x14ac:dyDescent="0.25">
      <c r="A84" t="s">
        <v>226</v>
      </c>
      <c r="B84" t="s">
        <v>195</v>
      </c>
      <c r="C84">
        <v>97</v>
      </c>
      <c r="D84">
        <f t="shared" si="4"/>
        <v>83</v>
      </c>
      <c r="E84">
        <f t="shared" si="5"/>
        <v>1</v>
      </c>
      <c r="F84" t="s">
        <v>480</v>
      </c>
      <c r="G84" t="str" cm="1">
        <f t="array" ref="G84">"/* " &amp; F84 &amp; REPT(" ", MAX(LEN($F$2:$F$183)) - LEN(F84)) &amp; " */  " &amp; C84 &amp; ","</f>
        <v>/* KEY_NP_PERIOD       */  97,</v>
      </c>
    </row>
    <row r="85" spans="1:7" x14ac:dyDescent="0.25">
      <c r="A85" t="s">
        <v>381</v>
      </c>
      <c r="B85" t="s">
        <v>197</v>
      </c>
      <c r="C85">
        <v>67</v>
      </c>
      <c r="D85">
        <f t="shared" si="4"/>
        <v>84</v>
      </c>
      <c r="E85">
        <f t="shared" si="5"/>
        <v>1</v>
      </c>
      <c r="F85" t="s">
        <v>450</v>
      </c>
      <c r="G85" t="str" cm="1">
        <f t="array" ref="G85">"/* " &amp; F85 &amp; REPT(" ", MAX(LEN($F$2:$F$183)) - LEN(F85)) &amp; " */  " &amp; C85 &amp; ","</f>
        <v>/* KEY_SYSRQ           */  67,</v>
      </c>
    </row>
    <row r="86" spans="1:7" x14ac:dyDescent="0.25">
      <c r="B86" t="s">
        <v>200</v>
      </c>
      <c r="C86">
        <v>0</v>
      </c>
      <c r="D86">
        <f t="shared" si="4"/>
        <v>85</v>
      </c>
      <c r="F86" t="s">
        <v>490</v>
      </c>
      <c r="G86" t="str" cm="1">
        <f t="array" ref="G86">"/* " &amp; F86 &amp; REPT(" ", MAX(LEN($F$2:$F$183)) - LEN(F86)) &amp; " */  " &amp; C86 &amp; ","</f>
        <v>/* KEY_INVALID         */  0,</v>
      </c>
    </row>
    <row r="87" spans="1:7" x14ac:dyDescent="0.25">
      <c r="B87" t="s">
        <v>202</v>
      </c>
      <c r="C87">
        <v>0</v>
      </c>
      <c r="D87">
        <f t="shared" si="4"/>
        <v>86</v>
      </c>
      <c r="F87" t="s">
        <v>490</v>
      </c>
      <c r="G87" t="str" cm="1">
        <f t="array" ref="G87">"/* " &amp; F87 &amp; REPT(" ", MAX(LEN($F$2:$F$183)) - LEN(F87)) &amp; " */  " &amp; C87 &amp; ","</f>
        <v>/* KEY_INVALID         */  0,</v>
      </c>
    </row>
    <row r="88" spans="1:7" x14ac:dyDescent="0.25">
      <c r="A88" t="s">
        <v>151</v>
      </c>
      <c r="B88" t="s">
        <v>152</v>
      </c>
      <c r="C88">
        <v>64</v>
      </c>
      <c r="D88">
        <f t="shared" si="4"/>
        <v>87</v>
      </c>
      <c r="E88">
        <f>D88 - D85</f>
        <v>3</v>
      </c>
      <c r="F88" t="s">
        <v>447</v>
      </c>
      <c r="G88" t="str" cm="1">
        <f t="array" ref="G88">"/* " &amp; F88 &amp; REPT(" ", MAX(LEN($F$2:$F$183)) - LEN(F88)) &amp; " */  " &amp; C88 &amp; ","</f>
        <v>/* KEY_F11             */  64,</v>
      </c>
    </row>
    <row r="89" spans="1:7" x14ac:dyDescent="0.25">
      <c r="A89" t="s">
        <v>153</v>
      </c>
      <c r="B89" t="s">
        <v>155</v>
      </c>
      <c r="C89">
        <v>65</v>
      </c>
      <c r="D89">
        <f t="shared" si="4"/>
        <v>88</v>
      </c>
      <c r="E89">
        <f t="shared" si="5"/>
        <v>1</v>
      </c>
      <c r="F89" t="s">
        <v>448</v>
      </c>
      <c r="G89" t="str" cm="1">
        <f t="array" ref="G89">"/* " &amp; F89 &amp; REPT(" ", MAX(LEN($F$2:$F$183)) - LEN(F89)) &amp; " */  " &amp; C89 &amp; ","</f>
        <v>/* KEY_F12             */  65,</v>
      </c>
    </row>
    <row r="90" spans="1:7" x14ac:dyDescent="0.25">
      <c r="F90" t="s">
        <v>490</v>
      </c>
    </row>
    <row r="91" spans="1:7" x14ac:dyDescent="0.25">
      <c r="F91" t="s">
        <v>490</v>
      </c>
    </row>
    <row r="92" spans="1:7" x14ac:dyDescent="0.25">
      <c r="F92" t="s">
        <v>490</v>
      </c>
    </row>
    <row r="93" spans="1:7" x14ac:dyDescent="0.25">
      <c r="F93" t="s">
        <v>490</v>
      </c>
    </row>
    <row r="94" spans="1:7" x14ac:dyDescent="0.25">
      <c r="F94" t="s">
        <v>490</v>
      </c>
    </row>
    <row r="95" spans="1:7" x14ac:dyDescent="0.25">
      <c r="F95" t="s">
        <v>490</v>
      </c>
    </row>
    <row r="96" spans="1:7" x14ac:dyDescent="0.25">
      <c r="F96" t="s">
        <v>490</v>
      </c>
    </row>
    <row r="97" spans="6:6" x14ac:dyDescent="0.25">
      <c r="F97" t="s">
        <v>490</v>
      </c>
    </row>
    <row r="98" spans="6:6" x14ac:dyDescent="0.25">
      <c r="F98" t="s">
        <v>490</v>
      </c>
    </row>
    <row r="99" spans="6:6" x14ac:dyDescent="0.25">
      <c r="F99" t="s">
        <v>490</v>
      </c>
    </row>
    <row r="100" spans="6:6" x14ac:dyDescent="0.25">
      <c r="F100" t="s">
        <v>490</v>
      </c>
    </row>
    <row r="101" spans="6:6" x14ac:dyDescent="0.25">
      <c r="F101" t="s">
        <v>490</v>
      </c>
    </row>
    <row r="102" spans="6:6" x14ac:dyDescent="0.25">
      <c r="F102" t="s">
        <v>490</v>
      </c>
    </row>
    <row r="103" spans="6:6" x14ac:dyDescent="0.25">
      <c r="F103" t="s">
        <v>490</v>
      </c>
    </row>
    <row r="104" spans="6:6" x14ac:dyDescent="0.25">
      <c r="F104" t="s">
        <v>490</v>
      </c>
    </row>
    <row r="105" spans="6:6" x14ac:dyDescent="0.25">
      <c r="F105" t="s">
        <v>490</v>
      </c>
    </row>
    <row r="106" spans="6:6" x14ac:dyDescent="0.25">
      <c r="F106" t="s">
        <v>490</v>
      </c>
    </row>
    <row r="107" spans="6:6" x14ac:dyDescent="0.25">
      <c r="F107" t="s">
        <v>490</v>
      </c>
    </row>
    <row r="108" spans="6:6" x14ac:dyDescent="0.25">
      <c r="F108" t="s">
        <v>490</v>
      </c>
    </row>
    <row r="109" spans="6:6" x14ac:dyDescent="0.25">
      <c r="F109" t="s">
        <v>490</v>
      </c>
    </row>
    <row r="110" spans="6:6" x14ac:dyDescent="0.25">
      <c r="F110" t="s">
        <v>490</v>
      </c>
    </row>
    <row r="111" spans="6:6" x14ac:dyDescent="0.25">
      <c r="F111" t="s">
        <v>490</v>
      </c>
    </row>
    <row r="112" spans="6:6" x14ac:dyDescent="0.25">
      <c r="F112" t="s">
        <v>490</v>
      </c>
    </row>
    <row r="113" spans="1:11" x14ac:dyDescent="0.25">
      <c r="F113" t="s">
        <v>490</v>
      </c>
    </row>
    <row r="114" spans="1:11" x14ac:dyDescent="0.25">
      <c r="F114" t="s">
        <v>490</v>
      </c>
    </row>
    <row r="115" spans="1:11" x14ac:dyDescent="0.25">
      <c r="F115" t="s">
        <v>490</v>
      </c>
    </row>
    <row r="116" spans="1:11" x14ac:dyDescent="0.25">
      <c r="F116" t="s">
        <v>490</v>
      </c>
    </row>
    <row r="117" spans="1:11" x14ac:dyDescent="0.25">
      <c r="F117" t="s">
        <v>490</v>
      </c>
    </row>
    <row r="118" spans="1:11" x14ac:dyDescent="0.25">
      <c r="A118" t="s">
        <v>204</v>
      </c>
      <c r="B118" t="s">
        <v>205</v>
      </c>
      <c r="C118">
        <v>86</v>
      </c>
      <c r="D118">
        <f t="shared" si="4"/>
        <v>57372</v>
      </c>
      <c r="E118">
        <f>D118 - D89</f>
        <v>57284</v>
      </c>
      <c r="F118" t="s">
        <v>469</v>
      </c>
      <c r="G118" t="str" cm="1">
        <f t="array" ref="G118">"/* " &amp; F118 &amp; REPT(" ", MAX(LEN($F$2:$F$183)) - LEN(F118)) &amp; " */  " &amp; C118 &amp; ","</f>
        <v>/* KEY_NP_ENTER        */  86,</v>
      </c>
      <c r="J118">
        <f>HEX2DEC(MID("0xE000", 3, 100))</f>
        <v>57344</v>
      </c>
      <c r="K118">
        <f>D118 - J118</f>
        <v>28</v>
      </c>
    </row>
    <row r="119" spans="1:11" x14ac:dyDescent="0.25">
      <c r="A119" t="s">
        <v>301</v>
      </c>
      <c r="B119" t="s">
        <v>303</v>
      </c>
      <c r="C119">
        <v>103</v>
      </c>
      <c r="D119">
        <f t="shared" si="4"/>
        <v>57373</v>
      </c>
      <c r="E119">
        <f t="shared" si="5"/>
        <v>1</v>
      </c>
      <c r="F119" t="s">
        <v>486</v>
      </c>
      <c r="G119" t="str" cm="1">
        <f t="array" ref="G119">"/* " &amp; F119 &amp; REPT(" ", MAX(LEN($F$2:$F$183)) - LEN(F119)) &amp; " */  " &amp; C119 &amp; ","</f>
        <v>/* KEY_RCONTROL        */  103,</v>
      </c>
    </row>
    <row r="120" spans="1:11" x14ac:dyDescent="0.25">
      <c r="F120" t="s">
        <v>490</v>
      </c>
    </row>
    <row r="121" spans="1:11" x14ac:dyDescent="0.25">
      <c r="F121" t="s">
        <v>490</v>
      </c>
    </row>
    <row r="122" spans="1:11" x14ac:dyDescent="0.25">
      <c r="F122" t="s">
        <v>490</v>
      </c>
    </row>
    <row r="123" spans="1:11" x14ac:dyDescent="0.25">
      <c r="F123" t="s">
        <v>490</v>
      </c>
    </row>
    <row r="124" spans="1:11" x14ac:dyDescent="0.25">
      <c r="F124" t="s">
        <v>490</v>
      </c>
    </row>
    <row r="125" spans="1:11" x14ac:dyDescent="0.25">
      <c r="F125" t="s">
        <v>490</v>
      </c>
    </row>
    <row r="126" spans="1:11" x14ac:dyDescent="0.25">
      <c r="F126" t="s">
        <v>490</v>
      </c>
    </row>
    <row r="127" spans="1:11" x14ac:dyDescent="0.25">
      <c r="F127" t="s">
        <v>490</v>
      </c>
    </row>
    <row r="128" spans="1:11" x14ac:dyDescent="0.25">
      <c r="F128" t="s">
        <v>490</v>
      </c>
    </row>
    <row r="129" spans="1:7" x14ac:dyDescent="0.25">
      <c r="F129" t="s">
        <v>490</v>
      </c>
    </row>
    <row r="130" spans="1:7" x14ac:dyDescent="0.25">
      <c r="F130" t="s">
        <v>490</v>
      </c>
    </row>
    <row r="131" spans="1:7" x14ac:dyDescent="0.25">
      <c r="F131" t="s">
        <v>490</v>
      </c>
    </row>
    <row r="132" spans="1:7" x14ac:dyDescent="0.25">
      <c r="F132" t="s">
        <v>490</v>
      </c>
    </row>
    <row r="133" spans="1:7" x14ac:dyDescent="0.25">
      <c r="F133" t="s">
        <v>490</v>
      </c>
    </row>
    <row r="134" spans="1:7" x14ac:dyDescent="0.25">
      <c r="F134" t="s">
        <v>490</v>
      </c>
    </row>
    <row r="135" spans="1:7" x14ac:dyDescent="0.25">
      <c r="F135" t="s">
        <v>490</v>
      </c>
    </row>
    <row r="136" spans="1:7" x14ac:dyDescent="0.25">
      <c r="F136" t="s">
        <v>490</v>
      </c>
    </row>
    <row r="137" spans="1:7" x14ac:dyDescent="0.25">
      <c r="F137" t="s">
        <v>490</v>
      </c>
    </row>
    <row r="138" spans="1:7" x14ac:dyDescent="0.25">
      <c r="F138" t="s">
        <v>490</v>
      </c>
    </row>
    <row r="139" spans="1:7" x14ac:dyDescent="0.25">
      <c r="F139" t="s">
        <v>490</v>
      </c>
    </row>
    <row r="140" spans="1:7" x14ac:dyDescent="0.25">
      <c r="F140" t="s">
        <v>490</v>
      </c>
    </row>
    <row r="141" spans="1:7" x14ac:dyDescent="0.25">
      <c r="F141" t="s">
        <v>490</v>
      </c>
    </row>
    <row r="142" spans="1:7" x14ac:dyDescent="0.25">
      <c r="F142" t="s">
        <v>490</v>
      </c>
    </row>
    <row r="143" spans="1:7" x14ac:dyDescent="0.25">
      <c r="A143" t="s">
        <v>196</v>
      </c>
      <c r="B143" t="s">
        <v>198</v>
      </c>
      <c r="C143">
        <v>82</v>
      </c>
      <c r="D143">
        <f t="shared" si="4"/>
        <v>57397</v>
      </c>
      <c r="E143">
        <f>D143 - D119</f>
        <v>24</v>
      </c>
      <c r="F143" t="s">
        <v>465</v>
      </c>
      <c r="G143" t="str" cm="1">
        <f t="array" ref="G143">"/* " &amp; F143 &amp; REPT(" ", MAX(LEN($F$2:$F$183)) - LEN(F143)) &amp; " */  " &amp; C143 &amp; ","</f>
        <v>/* KEY_NP_FORWARDSLASH */  82,</v>
      </c>
    </row>
    <row r="144" spans="1:7" x14ac:dyDescent="0.25">
      <c r="F144" t="s">
        <v>490</v>
      </c>
    </row>
    <row r="145" spans="1:7" x14ac:dyDescent="0.25">
      <c r="A145" t="s">
        <v>156</v>
      </c>
      <c r="B145" t="s">
        <v>158</v>
      </c>
      <c r="C145">
        <v>66</v>
      </c>
      <c r="D145">
        <f t="shared" si="4"/>
        <v>57399</v>
      </c>
      <c r="E145">
        <f>D145 - D143</f>
        <v>2</v>
      </c>
      <c r="F145" t="s">
        <v>449</v>
      </c>
      <c r="G145" t="str" cm="1">
        <f t="array" ref="G145">"/* " &amp; F145 &amp; REPT(" ", MAX(LEN($F$2:$F$183)) - LEN(F145)) &amp; " */  " &amp; C145 &amp; ","</f>
        <v>/* KEY_PRINTSCREEN     */  66,</v>
      </c>
    </row>
    <row r="146" spans="1:7" x14ac:dyDescent="0.25">
      <c r="A146" t="s">
        <v>306</v>
      </c>
      <c r="B146" t="s">
        <v>308</v>
      </c>
      <c r="C146">
        <v>105</v>
      </c>
      <c r="D146">
        <f t="shared" si="4"/>
        <v>57400</v>
      </c>
      <c r="E146">
        <f t="shared" si="5"/>
        <v>1</v>
      </c>
      <c r="F146" t="s">
        <v>488</v>
      </c>
      <c r="G146" t="str" cm="1">
        <f t="array" ref="G146">"/* " &amp; F146 &amp; REPT(" ", MAX(LEN($F$2:$F$183)) - LEN(F146)) &amp; " */  " &amp; C146 &amp; ","</f>
        <v>/* KEY_RALT            */  105,</v>
      </c>
    </row>
    <row r="147" spans="1:7" x14ac:dyDescent="0.25">
      <c r="F147" t="s">
        <v>490</v>
      </c>
    </row>
    <row r="148" spans="1:7" x14ac:dyDescent="0.25">
      <c r="F148" t="s">
        <v>490</v>
      </c>
    </row>
    <row r="149" spans="1:7" x14ac:dyDescent="0.25">
      <c r="F149" t="s">
        <v>490</v>
      </c>
    </row>
    <row r="150" spans="1:7" x14ac:dyDescent="0.25">
      <c r="F150" t="s">
        <v>490</v>
      </c>
    </row>
    <row r="151" spans="1:7" x14ac:dyDescent="0.25">
      <c r="F151" t="s">
        <v>490</v>
      </c>
    </row>
    <row r="152" spans="1:7" x14ac:dyDescent="0.25">
      <c r="F152" t="s">
        <v>490</v>
      </c>
    </row>
    <row r="153" spans="1:7" x14ac:dyDescent="0.25">
      <c r="F153" t="s">
        <v>490</v>
      </c>
    </row>
    <row r="154" spans="1:7" x14ac:dyDescent="0.25">
      <c r="F154" t="s">
        <v>490</v>
      </c>
    </row>
    <row r="155" spans="1:7" x14ac:dyDescent="0.25">
      <c r="F155" t="s">
        <v>490</v>
      </c>
    </row>
    <row r="156" spans="1:7" x14ac:dyDescent="0.25">
      <c r="F156" t="s">
        <v>490</v>
      </c>
    </row>
    <row r="157" spans="1:7" x14ac:dyDescent="0.25">
      <c r="F157" t="s">
        <v>490</v>
      </c>
    </row>
    <row r="158" spans="1:7" x14ac:dyDescent="0.25">
      <c r="F158" t="s">
        <v>490</v>
      </c>
    </row>
    <row r="159" spans="1:7" x14ac:dyDescent="0.25">
      <c r="A159" t="s">
        <v>194</v>
      </c>
      <c r="B159" t="s">
        <v>368</v>
      </c>
      <c r="C159">
        <v>81</v>
      </c>
      <c r="D159">
        <f t="shared" si="4"/>
        <v>57413</v>
      </c>
      <c r="E159">
        <f>D159 - D146</f>
        <v>13</v>
      </c>
      <c r="F159" t="s">
        <v>464</v>
      </c>
      <c r="G159" t="str" cm="1">
        <f t="array" ref="G159">"/* " &amp; F159 &amp; REPT(" ", MAX(LEN($F$2:$F$183)) - LEN(F159)) &amp; " */  " &amp; C159 &amp; ","</f>
        <v>/* KEY_NP_NUMLOCK      */  81,</v>
      </c>
    </row>
    <row r="160" spans="1:7" x14ac:dyDescent="0.25">
      <c r="A160" t="s">
        <v>382</v>
      </c>
      <c r="B160" t="s">
        <v>367</v>
      </c>
      <c r="C160">
        <v>69</v>
      </c>
      <c r="D160">
        <f t="shared" si="4"/>
        <v>57414</v>
      </c>
      <c r="E160">
        <f t="shared" si="5"/>
        <v>1</v>
      </c>
      <c r="F160" t="s">
        <v>452</v>
      </c>
      <c r="G160" t="str" cm="1">
        <f t="array" ref="G160">"/* " &amp; F160 &amp; REPT(" ", MAX(LEN($F$2:$F$183)) - LEN(F160)) &amp; " */  " &amp; C160 &amp; ","</f>
        <v>/* KEY_BREAK           */  69,</v>
      </c>
    </row>
    <row r="161" spans="1:7" x14ac:dyDescent="0.25">
      <c r="A161" t="s">
        <v>167</v>
      </c>
      <c r="B161" t="s">
        <v>169</v>
      </c>
      <c r="C161">
        <v>72</v>
      </c>
      <c r="D161">
        <f t="shared" si="4"/>
        <v>57415</v>
      </c>
      <c r="E161">
        <f t="shared" si="5"/>
        <v>1</v>
      </c>
      <c r="F161" t="s">
        <v>455</v>
      </c>
      <c r="G161" t="str" cm="1">
        <f t="array" ref="G161">"/* " &amp; F161 &amp; REPT(" ", MAX(LEN($F$2:$F$183)) - LEN(F161)) &amp; " */  " &amp; C161 &amp; ","</f>
        <v>/* KEY_HOME            */  72,</v>
      </c>
    </row>
    <row r="162" spans="1:7" x14ac:dyDescent="0.25">
      <c r="A162" t="s">
        <v>191</v>
      </c>
      <c r="B162" t="s">
        <v>193</v>
      </c>
      <c r="C162">
        <v>80</v>
      </c>
      <c r="D162">
        <f t="shared" si="4"/>
        <v>57416</v>
      </c>
      <c r="E162">
        <f t="shared" si="5"/>
        <v>1</v>
      </c>
      <c r="F162" t="s">
        <v>463</v>
      </c>
      <c r="G162" t="str" cm="1">
        <f t="array" ref="G162">"/* " &amp; F162 &amp; REPT(" ", MAX(LEN($F$2:$F$183)) - LEN(F162)) &amp; " */  " &amp; C162 &amp; ","</f>
        <v>/* KEY_UP              */  80,</v>
      </c>
    </row>
    <row r="163" spans="1:7" x14ac:dyDescent="0.25">
      <c r="A163" t="s">
        <v>170</v>
      </c>
      <c r="B163" t="s">
        <v>172</v>
      </c>
      <c r="C163">
        <v>73</v>
      </c>
      <c r="D163">
        <f t="shared" si="4"/>
        <v>57417</v>
      </c>
      <c r="E163">
        <f t="shared" si="5"/>
        <v>1</v>
      </c>
      <c r="F163" t="s">
        <v>456</v>
      </c>
      <c r="G163" t="str" cm="1">
        <f t="array" ref="G163">"/* " &amp; F163 &amp; REPT(" ", MAX(LEN($F$2:$F$183)) - LEN(F163)) &amp; " */  " &amp; C163 &amp; ","</f>
        <v>/* KEY_PAGEUP          */  73,</v>
      </c>
    </row>
    <row r="164" spans="1:7" x14ac:dyDescent="0.25">
      <c r="F164" t="s">
        <v>490</v>
      </c>
    </row>
    <row r="165" spans="1:7" x14ac:dyDescent="0.25">
      <c r="A165" t="s">
        <v>185</v>
      </c>
      <c r="B165" t="s">
        <v>187</v>
      </c>
      <c r="C165">
        <v>78</v>
      </c>
      <c r="D165">
        <f t="shared" ref="D165:D183" si="6">HEX2DEC(MID(B165, 3, 100))</f>
        <v>57419</v>
      </c>
      <c r="E165">
        <f>D165 - D163</f>
        <v>2</v>
      </c>
      <c r="F165" t="s">
        <v>461</v>
      </c>
      <c r="G165" t="str" cm="1">
        <f t="array" ref="G165">"/* " &amp; F165 &amp; REPT(" ", MAX(LEN($F$2:$F$183)) - LEN(F165)) &amp; " */  " &amp; C165 &amp; ","</f>
        <v>/* KEY_LEFT            */  78,</v>
      </c>
    </row>
    <row r="166" spans="1:7" x14ac:dyDescent="0.25">
      <c r="F166" t="s">
        <v>490</v>
      </c>
    </row>
    <row r="167" spans="1:7" x14ac:dyDescent="0.25">
      <c r="A167" t="s">
        <v>182</v>
      </c>
      <c r="B167" t="s">
        <v>184</v>
      </c>
      <c r="C167">
        <v>77</v>
      </c>
      <c r="D167">
        <f t="shared" si="6"/>
        <v>57421</v>
      </c>
      <c r="E167">
        <f>D167 - D165</f>
        <v>2</v>
      </c>
      <c r="F167" t="s">
        <v>460</v>
      </c>
      <c r="G167" t="str" cm="1">
        <f t="array" ref="G167">"/* " &amp; F167 &amp; REPT(" ", MAX(LEN($F$2:$F$183)) - LEN(F167)) &amp; " */  " &amp; C167 &amp; ","</f>
        <v>/* KEY_RIGHT           */  77,</v>
      </c>
    </row>
    <row r="168" spans="1:7" x14ac:dyDescent="0.25">
      <c r="F168" t="s">
        <v>490</v>
      </c>
    </row>
    <row r="169" spans="1:7" x14ac:dyDescent="0.25">
      <c r="A169" t="s">
        <v>176</v>
      </c>
      <c r="B169" t="s">
        <v>178</v>
      </c>
      <c r="C169">
        <v>75</v>
      </c>
      <c r="D169">
        <f t="shared" si="6"/>
        <v>57423</v>
      </c>
      <c r="E169">
        <f>D169 - D167</f>
        <v>2</v>
      </c>
      <c r="F169" t="s">
        <v>458</v>
      </c>
      <c r="G169" t="str" cm="1">
        <f t="array" ref="G169">"/* " &amp; F169 &amp; REPT(" ", MAX(LEN($F$2:$F$183)) - LEN(F169)) &amp; " */  " &amp; C169 &amp; ","</f>
        <v>/* KEY_END             */  75,</v>
      </c>
    </row>
    <row r="170" spans="1:7" x14ac:dyDescent="0.25">
      <c r="A170" t="s">
        <v>188</v>
      </c>
      <c r="B170" t="s">
        <v>190</v>
      </c>
      <c r="C170">
        <v>79</v>
      </c>
      <c r="D170">
        <f t="shared" si="6"/>
        <v>57424</v>
      </c>
      <c r="E170">
        <f t="shared" ref="E170:E183" si="7">D170 - D169</f>
        <v>1</v>
      </c>
      <c r="F170" t="s">
        <v>462</v>
      </c>
      <c r="G170" t="str" cm="1">
        <f t="array" ref="G170">"/* " &amp; F170 &amp; REPT(" ", MAX(LEN($F$2:$F$183)) - LEN(F170)) &amp; " */  " &amp; C170 &amp; ","</f>
        <v>/* KEY_DOWN            */  79,</v>
      </c>
    </row>
    <row r="171" spans="1:7" x14ac:dyDescent="0.25">
      <c r="A171" t="s">
        <v>179</v>
      </c>
      <c r="B171" t="s">
        <v>181</v>
      </c>
      <c r="C171">
        <v>76</v>
      </c>
      <c r="D171">
        <f t="shared" si="6"/>
        <v>57425</v>
      </c>
      <c r="E171">
        <f t="shared" si="7"/>
        <v>1</v>
      </c>
      <c r="F171" t="s">
        <v>459</v>
      </c>
      <c r="G171" t="str" cm="1">
        <f t="array" ref="G171">"/* " &amp; F171 &amp; REPT(" ", MAX(LEN($F$2:$F$183)) - LEN(F171)) &amp; " */  " &amp; C171 &amp; ","</f>
        <v>/* KEY_PAGEDOWN        */  76,</v>
      </c>
    </row>
    <row r="172" spans="1:7" x14ac:dyDescent="0.25">
      <c r="A172" t="s">
        <v>164</v>
      </c>
      <c r="B172" t="s">
        <v>166</v>
      </c>
      <c r="C172">
        <v>71</v>
      </c>
      <c r="D172">
        <f t="shared" si="6"/>
        <v>57426</v>
      </c>
      <c r="E172">
        <f t="shared" si="7"/>
        <v>1</v>
      </c>
      <c r="F172" t="s">
        <v>454</v>
      </c>
      <c r="G172" t="str" cm="1">
        <f t="array" ref="G172">"/* " &amp; F172 &amp; REPT(" ", MAX(LEN($F$2:$F$183)) - LEN(F172)) &amp; " */  " &amp; C172 &amp; ","</f>
        <v>/* KEY_INSERT          */  71,</v>
      </c>
    </row>
    <row r="173" spans="1:7" x14ac:dyDescent="0.25">
      <c r="A173" t="s">
        <v>173</v>
      </c>
      <c r="B173" t="s">
        <v>175</v>
      </c>
      <c r="C173">
        <v>74</v>
      </c>
      <c r="D173">
        <f t="shared" si="6"/>
        <v>57427</v>
      </c>
      <c r="E173">
        <f t="shared" si="7"/>
        <v>1</v>
      </c>
      <c r="F173" t="s">
        <v>457</v>
      </c>
      <c r="G173" t="str" cm="1">
        <f t="array" ref="G173">"/* " &amp; F173 &amp; REPT(" ", MAX(LEN($F$2:$F$183)) - LEN(F173)) &amp; " */  " &amp; C173 &amp; ","</f>
        <v>/* KEY_DELETE          */  74,</v>
      </c>
    </row>
    <row r="174" spans="1:7" x14ac:dyDescent="0.25">
      <c r="F174" t="s">
        <v>490</v>
      </c>
    </row>
    <row r="175" spans="1:7" x14ac:dyDescent="0.25">
      <c r="F175" t="s">
        <v>490</v>
      </c>
    </row>
    <row r="176" spans="1:7" x14ac:dyDescent="0.25">
      <c r="F176" t="s">
        <v>490</v>
      </c>
    </row>
    <row r="177" spans="1:7" x14ac:dyDescent="0.25">
      <c r="F177" t="s">
        <v>490</v>
      </c>
    </row>
    <row r="178" spans="1:7" x14ac:dyDescent="0.25">
      <c r="F178" t="s">
        <v>490</v>
      </c>
    </row>
    <row r="179" spans="1:7" x14ac:dyDescent="0.25">
      <c r="F179" t="s">
        <v>490</v>
      </c>
    </row>
    <row r="180" spans="1:7" x14ac:dyDescent="0.25">
      <c r="F180" t="s">
        <v>490</v>
      </c>
    </row>
    <row r="181" spans="1:7" x14ac:dyDescent="0.25">
      <c r="A181" t="s">
        <v>298</v>
      </c>
      <c r="B181" t="s">
        <v>300</v>
      </c>
      <c r="C181">
        <v>102</v>
      </c>
      <c r="D181">
        <f t="shared" si="6"/>
        <v>57435</v>
      </c>
      <c r="E181">
        <f>D181 - D173</f>
        <v>8</v>
      </c>
      <c r="F181" t="s">
        <v>485</v>
      </c>
      <c r="G181" t="str" cm="1">
        <f t="array" ref="G181">"/* " &amp; F181 &amp; REPT(" ", MAX(LEN($F$2:$F$183)) - LEN(F181)) &amp; " */  " &amp; C181 &amp; ","</f>
        <v>/* KEY_LSUPER          */  102,</v>
      </c>
    </row>
    <row r="182" spans="1:7" x14ac:dyDescent="0.25">
      <c r="A182" t="s">
        <v>309</v>
      </c>
      <c r="B182" t="s">
        <v>311</v>
      </c>
      <c r="C182">
        <v>106</v>
      </c>
      <c r="D182">
        <f t="shared" si="6"/>
        <v>57436</v>
      </c>
      <c r="E182">
        <f t="shared" si="7"/>
        <v>1</v>
      </c>
      <c r="F182" t="s">
        <v>489</v>
      </c>
      <c r="G182" t="str" cm="1">
        <f t="array" ref="G182">"/* " &amp; F182 &amp; REPT(" ", MAX(LEN($F$2:$F$183)) - LEN(F182)) &amp; " */  " &amp; C182 &amp; ","</f>
        <v>/* KEY_RSUPER          */  106,</v>
      </c>
    </row>
    <row r="183" spans="1:7" x14ac:dyDescent="0.25">
      <c r="A183" t="s">
        <v>230</v>
      </c>
      <c r="B183" t="s">
        <v>232</v>
      </c>
      <c r="C183">
        <v>98</v>
      </c>
      <c r="D183">
        <f t="shared" si="6"/>
        <v>57437</v>
      </c>
      <c r="E183">
        <f t="shared" si="7"/>
        <v>1</v>
      </c>
      <c r="F183" t="s">
        <v>481</v>
      </c>
      <c r="G183" t="str" cm="1">
        <f t="array" ref="G183">"/* " &amp; F183 &amp; REPT(" ", MAX(LEN($F$2:$F$183)) - LEN(F183)) &amp; " */  " &amp; C183 &amp; ","</f>
        <v>/* KEY_APP             */  98,</v>
      </c>
    </row>
  </sheetData>
  <sortState xmlns:xlrd2="http://schemas.microsoft.com/office/spreadsheetml/2017/richdata2" ref="A2:C183">
    <sortCondition ref="B2:B183"/>
  </sortState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Immelman</dc:creator>
  <cp:lastModifiedBy>Philip Immelman</cp:lastModifiedBy>
  <dcterms:created xsi:type="dcterms:W3CDTF">2026-04-09T18:16:49Z</dcterms:created>
  <dcterms:modified xsi:type="dcterms:W3CDTF">2026-04-10T16:30:18Z</dcterms:modified>
</cp:coreProperties>
</file>